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Users\Byambaa\Desktop\"/>
    </mc:Choice>
  </mc:AlternateContent>
  <xr:revisionPtr revIDLastSave="0" documentId="13_ncr:1_{ECCDC077-00C0-41B4-A600-75EA31E0D872}" xr6:coauthVersionLast="43" xr6:coauthVersionMax="43" xr10:uidLastSave="{00000000-0000-0000-0000-000000000000}"/>
  <bookViews>
    <workbookView xWindow="-120" yWindow="-120" windowWidth="38640" windowHeight="21240" xr2:uid="{00000000-000D-0000-FFFF-FFFF00000000}"/>
  </bookViews>
  <sheets>
    <sheet name="Бүртгэл " sheetId="1" r:id="rId1"/>
    <sheet name="Санхүү" sheetId="2" r:id="rId2"/>
    <sheet name="sanhuu" sheetId="5" r:id="rId3"/>
    <sheet name="авах зүйлс" sheetId="6" r:id="rId4"/>
    <sheet name="Хөтөлбөр " sheetId="4" r:id="rId5"/>
  </sheets>
  <definedNames>
    <definedName name="_xlnm.Print_Area" localSheetId="3">'авах зүйлс'!$A$1:$I$46</definedName>
    <definedName name="_xlnm.Print_Area" localSheetId="0">'Бүртгэл '!$A$1:$AA$56</definedName>
    <definedName name="_xlnm.Print_Area" localSheetId="1">Санхүү!$A$1:$M$33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1" i="6" l="1"/>
  <c r="H11" i="6" s="1"/>
  <c r="H12" i="6"/>
  <c r="H45" i="6"/>
  <c r="H41" i="6"/>
  <c r="H42" i="6"/>
  <c r="H43" i="6"/>
  <c r="H33" i="6"/>
  <c r="H21" i="6"/>
  <c r="F44" i="6"/>
  <c r="H44" i="6" s="1"/>
  <c r="F38" i="6"/>
  <c r="H38" i="6" s="1"/>
  <c r="F37" i="6"/>
  <c r="H37" i="6" s="1"/>
  <c r="F36" i="6"/>
  <c r="H36" i="6" s="1"/>
  <c r="F35" i="6"/>
  <c r="H35" i="6" s="1"/>
  <c r="F32" i="6"/>
  <c r="H32" i="6" s="1"/>
  <c r="F10" i="6"/>
  <c r="H10" i="6" s="1"/>
  <c r="F34" i="6"/>
  <c r="H34" i="6" s="1"/>
  <c r="F13" i="6"/>
  <c r="H13" i="6" s="1"/>
  <c r="F19" i="6"/>
  <c r="H19" i="6" s="1"/>
  <c r="F9" i="6" l="1"/>
  <c r="H9" i="6" s="1"/>
  <c r="G46" i="6"/>
  <c r="F40" i="6"/>
  <c r="H40" i="6" s="1"/>
  <c r="F39" i="6"/>
  <c r="H39" i="6" s="1"/>
  <c r="F3" i="6"/>
  <c r="H3" i="6" s="1"/>
  <c r="F4" i="6"/>
  <c r="H4" i="6" s="1"/>
  <c r="F5" i="6"/>
  <c r="H5" i="6" s="1"/>
  <c r="F6" i="6"/>
  <c r="H6" i="6" s="1"/>
  <c r="F7" i="6"/>
  <c r="H7" i="6" s="1"/>
  <c r="F8" i="6"/>
  <c r="H8" i="6" s="1"/>
  <c r="F14" i="6"/>
  <c r="H14" i="6" s="1"/>
  <c r="F15" i="6"/>
  <c r="H15" i="6" s="1"/>
  <c r="F16" i="6"/>
  <c r="H16" i="6" s="1"/>
  <c r="F17" i="6"/>
  <c r="H17" i="6" s="1"/>
  <c r="F18" i="6"/>
  <c r="H18" i="6" s="1"/>
  <c r="F20" i="6"/>
  <c r="H20" i="6" s="1"/>
  <c r="F23" i="6"/>
  <c r="H23" i="6" s="1"/>
  <c r="F24" i="6"/>
  <c r="H24" i="6" s="1"/>
  <c r="F25" i="6"/>
  <c r="H25" i="6" s="1"/>
  <c r="F26" i="6"/>
  <c r="H26" i="6" s="1"/>
  <c r="F27" i="6"/>
  <c r="H27" i="6" s="1"/>
  <c r="F28" i="6"/>
  <c r="F29" i="6"/>
  <c r="H29" i="6" s="1"/>
  <c r="F30" i="6"/>
  <c r="H30" i="6" s="1"/>
  <c r="F31" i="6"/>
  <c r="H31" i="6" s="1"/>
  <c r="F2" i="6"/>
  <c r="F46" i="6" l="1"/>
  <c r="H28" i="6"/>
  <c r="H46" i="6" s="1"/>
  <c r="H2" i="6"/>
  <c r="D15" i="5"/>
  <c r="C15" i="5"/>
  <c r="B15" i="5"/>
  <c r="C16" i="5" l="1"/>
  <c r="C14" i="2"/>
  <c r="C8" i="2"/>
  <c r="M18" i="2" l="1"/>
  <c r="K19" i="2"/>
  <c r="I20" i="2"/>
  <c r="G20" i="2"/>
  <c r="E20" i="2"/>
  <c r="C21" i="2"/>
  <c r="M7" i="2"/>
  <c r="G8" i="2"/>
  <c r="K6" i="2"/>
  <c r="I7" i="2"/>
  <c r="E9" i="2"/>
  <c r="C24" i="2" s="1"/>
</calcChain>
</file>

<file path=xl/sharedStrings.xml><?xml version="1.0" encoding="utf-8"?>
<sst xmlns="http://schemas.openxmlformats.org/spreadsheetml/2006/main" count="427" uniqueCount="301">
  <si>
    <t xml:space="preserve">Алтангэрэл </t>
  </si>
  <si>
    <t xml:space="preserve">Хандхүү </t>
  </si>
  <si>
    <t xml:space="preserve">Хүүхэд </t>
  </si>
  <si>
    <t xml:space="preserve">Пүрэвсүрэн </t>
  </si>
  <si>
    <t xml:space="preserve">Давааням </t>
  </si>
  <si>
    <t xml:space="preserve">Бямбасүрэн </t>
  </si>
  <si>
    <t xml:space="preserve">Даш </t>
  </si>
  <si>
    <t xml:space="preserve">Цэрэнхүү </t>
  </si>
  <si>
    <t xml:space="preserve">Ганзориг </t>
  </si>
  <si>
    <t>Даариймаа</t>
  </si>
  <si>
    <t xml:space="preserve">Ганбаяр </t>
  </si>
  <si>
    <t xml:space="preserve">Пүрэвдорж </t>
  </si>
  <si>
    <t>Пунцагдэлэг</t>
  </si>
  <si>
    <t xml:space="preserve">Жавзандулам </t>
  </si>
  <si>
    <t xml:space="preserve">Ганбат </t>
  </si>
  <si>
    <t xml:space="preserve">Одгэрэл </t>
  </si>
  <si>
    <t xml:space="preserve">Сэр-Од </t>
  </si>
  <si>
    <t xml:space="preserve">Дагдан </t>
  </si>
  <si>
    <t>Батгэрэл</t>
  </si>
  <si>
    <t xml:space="preserve">Батнаран </t>
  </si>
  <si>
    <t xml:space="preserve">Бат-Оюун </t>
  </si>
  <si>
    <t>Бямбаа</t>
  </si>
  <si>
    <t xml:space="preserve">Оюунчимэг </t>
  </si>
  <si>
    <t xml:space="preserve">Мөнх-Эрдэнэ </t>
  </si>
  <si>
    <t xml:space="preserve">Мөнх-Очир </t>
  </si>
  <si>
    <t xml:space="preserve">Мөнхзул </t>
  </si>
  <si>
    <t xml:space="preserve">Ганболд </t>
  </si>
  <si>
    <t>Мичид</t>
  </si>
  <si>
    <t xml:space="preserve">Дамбаням </t>
  </si>
  <si>
    <t>Биндэръяа</t>
  </si>
  <si>
    <t xml:space="preserve">Бямбаням </t>
  </si>
  <si>
    <t xml:space="preserve">Түвшинтөгс </t>
  </si>
  <si>
    <t xml:space="preserve">Алтаншагай </t>
  </si>
  <si>
    <t xml:space="preserve">Тэмүүлэн </t>
  </si>
  <si>
    <t xml:space="preserve">Нацагдорж </t>
  </si>
  <si>
    <t xml:space="preserve">Наранзаяа </t>
  </si>
  <si>
    <t xml:space="preserve">Номиншүр </t>
  </si>
  <si>
    <t xml:space="preserve">Заяа </t>
  </si>
  <si>
    <t>Даваа</t>
  </si>
  <si>
    <t xml:space="preserve">Отгончимэг </t>
  </si>
  <si>
    <t xml:space="preserve">Бигүүн </t>
  </si>
  <si>
    <t xml:space="preserve">Алтанхуяг </t>
  </si>
  <si>
    <t xml:space="preserve">Наранцэцэг </t>
  </si>
  <si>
    <t xml:space="preserve">Мөнгөнзул </t>
  </si>
  <si>
    <t xml:space="preserve">Мөнхбаяр </t>
  </si>
  <si>
    <t xml:space="preserve">Чин-Итгэл </t>
  </si>
  <si>
    <t>Чингэрэл</t>
  </si>
  <si>
    <t xml:space="preserve">Мөнх-Од </t>
  </si>
  <si>
    <t xml:space="preserve">Наранбаяр </t>
  </si>
  <si>
    <t>Од-Эрхэс</t>
  </si>
  <si>
    <t xml:space="preserve">Долгор </t>
  </si>
  <si>
    <t>Аззаяа</t>
  </si>
  <si>
    <t>Намуна</t>
  </si>
  <si>
    <t>Номуна</t>
  </si>
  <si>
    <t xml:space="preserve">Батцэнгэл </t>
  </si>
  <si>
    <t xml:space="preserve">Отгонцэрэн </t>
  </si>
  <si>
    <t xml:space="preserve">Алтантуяа </t>
  </si>
  <si>
    <t>Лхагваа</t>
  </si>
  <si>
    <t xml:space="preserve">Баасан </t>
  </si>
  <si>
    <t xml:space="preserve">Номин </t>
  </si>
  <si>
    <t xml:space="preserve">Ундрах </t>
  </si>
  <si>
    <t>Дорж</t>
  </si>
  <si>
    <t xml:space="preserve">Саруул </t>
  </si>
  <si>
    <t>Ундрам</t>
  </si>
  <si>
    <t xml:space="preserve">Занабазар </t>
  </si>
  <si>
    <t xml:space="preserve">Нийт </t>
  </si>
  <si>
    <t xml:space="preserve">Нээлтийн хэсэг </t>
  </si>
  <si>
    <t>11:00-12:30</t>
  </si>
  <si>
    <t>Өвөөгийн түүх /ямар хүн байсан гоё түүх өгүүлэх/</t>
  </si>
  <si>
    <t xml:space="preserve">2-3 мин </t>
  </si>
  <si>
    <t xml:space="preserve">Хөтлөгчийн холболт </t>
  </si>
  <si>
    <t xml:space="preserve">Ерөөлч </t>
  </si>
  <si>
    <t xml:space="preserve">Морин хуурч </t>
  </si>
  <si>
    <t xml:space="preserve">Нутаг усны зураг </t>
  </si>
  <si>
    <t xml:space="preserve">Гэр бүлийн танилцуулга </t>
  </si>
  <si>
    <t xml:space="preserve">12 дараалах </t>
  </si>
  <si>
    <t xml:space="preserve">Гэр бүлийн зургууд </t>
  </si>
  <si>
    <t xml:space="preserve">Дуучин </t>
  </si>
  <si>
    <t>Жавхлан стиль</t>
  </si>
  <si>
    <t xml:space="preserve">Хорхог </t>
  </si>
  <si>
    <t xml:space="preserve">Хувца солих </t>
  </si>
  <si>
    <t>13:00-14:00</t>
  </si>
  <si>
    <t>14:00-15:00</t>
  </si>
  <si>
    <t xml:space="preserve">Play time </t>
  </si>
  <si>
    <t xml:space="preserve">Хөтлөгчтэй ярьж  тоглоомоо гаргах </t>
  </si>
  <si>
    <t>15:00-19:00</t>
  </si>
  <si>
    <t>2-3 тоглоом</t>
  </si>
  <si>
    <t>Dinner</t>
  </si>
  <si>
    <t xml:space="preserve">Буфет хоол </t>
  </si>
  <si>
    <t>19:00-20:00</t>
  </si>
  <si>
    <t xml:space="preserve">Хаалт </t>
  </si>
  <si>
    <t>20:00-22:00</t>
  </si>
  <si>
    <t>Дөк, Од</t>
  </si>
  <si>
    <t xml:space="preserve">Дуу бүжиг </t>
  </si>
  <si>
    <t xml:space="preserve">Сальют </t>
  </si>
  <si>
    <t>DJ time</t>
  </si>
  <si>
    <t xml:space="preserve">Party time </t>
  </si>
  <si>
    <t xml:space="preserve">laser, хөгжим </t>
  </si>
  <si>
    <t>Нансалмаа</t>
  </si>
  <si>
    <t>Амаржаргал</t>
  </si>
  <si>
    <t xml:space="preserve">Сүхбат </t>
  </si>
  <si>
    <t>Дэлгэрмаа</t>
  </si>
  <si>
    <t xml:space="preserve">Нэр </t>
  </si>
  <si>
    <t xml:space="preserve">Мөнгөн дүн </t>
  </si>
  <si>
    <t>Алтангэрэл</t>
  </si>
  <si>
    <t>Ренчинлхүмбэ</t>
  </si>
  <si>
    <t xml:space="preserve">Нямсүрэн </t>
  </si>
  <si>
    <t xml:space="preserve">Даш-Өлзий </t>
  </si>
  <si>
    <t xml:space="preserve">Алтанзул </t>
  </si>
  <si>
    <t xml:space="preserve">Сувданчимэг </t>
  </si>
  <si>
    <t>Пүрэвдорж</t>
  </si>
  <si>
    <t>Нямдаваа</t>
  </si>
  <si>
    <t>Сэр-Од</t>
  </si>
  <si>
    <t>Мөнх-Эрдэнэ</t>
  </si>
  <si>
    <t>Мөнхзул</t>
  </si>
  <si>
    <t>Ганболд</t>
  </si>
  <si>
    <t xml:space="preserve">Анужин </t>
  </si>
  <si>
    <t>Нацагдорж</t>
  </si>
  <si>
    <t>Баярмагнай</t>
  </si>
  <si>
    <t xml:space="preserve">Баярсайхан </t>
  </si>
  <si>
    <t xml:space="preserve">Баяржавхлан </t>
  </si>
  <si>
    <t>Оюун-эрдэнэ</t>
  </si>
  <si>
    <t xml:space="preserve">Гарамбазар </t>
  </si>
  <si>
    <t xml:space="preserve">Лхагвасүрэн </t>
  </si>
  <si>
    <t>Болороо</t>
  </si>
  <si>
    <t>Сандагдорж</t>
  </si>
  <si>
    <t>Осоржан</t>
  </si>
  <si>
    <t xml:space="preserve">Ивээн тэтгэгч байгууллага </t>
  </si>
  <si>
    <t>Оюунгэрэл</t>
  </si>
  <si>
    <t>Далайжаргал</t>
  </si>
  <si>
    <t xml:space="preserve">Амралт </t>
  </si>
  <si>
    <t xml:space="preserve">Үлдэгдэл төлбөр </t>
  </si>
  <si>
    <t xml:space="preserve">Нэгжийн үнэ </t>
  </si>
  <si>
    <t xml:space="preserve">Далайжаргал </t>
  </si>
  <si>
    <t xml:space="preserve">өгөх мөнгө </t>
  </si>
  <si>
    <t xml:space="preserve">өгсөн мөнгө </t>
  </si>
  <si>
    <t xml:space="preserve">нэмэлт мөнгө </t>
  </si>
  <si>
    <t>хонь</t>
  </si>
  <si>
    <t xml:space="preserve">Хөтлөгч </t>
  </si>
  <si>
    <t xml:space="preserve">Морин хуурч, ерөөлч </t>
  </si>
  <si>
    <t xml:space="preserve">Зохиолын дуучин </t>
  </si>
  <si>
    <t xml:space="preserve">Бүжигчин </t>
  </si>
  <si>
    <t>Төгсөө</t>
  </si>
  <si>
    <t>Од</t>
  </si>
  <si>
    <t xml:space="preserve">Зурагчин </t>
  </si>
  <si>
    <t>intertiment</t>
  </si>
  <si>
    <t xml:space="preserve">Тайз чимэглэл </t>
  </si>
  <si>
    <t>Laser</t>
  </si>
  <si>
    <t>Led дэлгэц</t>
  </si>
  <si>
    <t xml:space="preserve">Disco гэрэл </t>
  </si>
  <si>
    <t xml:space="preserve">Хөгжим </t>
  </si>
  <si>
    <t xml:space="preserve">Гэрэл </t>
  </si>
  <si>
    <t xml:space="preserve">Чимэглэл </t>
  </si>
  <si>
    <t xml:space="preserve">Хэвлэл </t>
  </si>
  <si>
    <t>Хоол уух зүйлс</t>
  </si>
  <si>
    <t xml:space="preserve">Хоол </t>
  </si>
  <si>
    <t>Жимс</t>
  </si>
  <si>
    <t xml:space="preserve">Тавгийн идээ </t>
  </si>
  <si>
    <t xml:space="preserve">чихэр </t>
  </si>
  <si>
    <t>Ууц</t>
  </si>
  <si>
    <t xml:space="preserve">айраг </t>
  </si>
  <si>
    <t>Ундаа ус</t>
  </si>
  <si>
    <t xml:space="preserve">Ургын ном </t>
  </si>
  <si>
    <t xml:space="preserve">Урьдчилгаа </t>
  </si>
  <si>
    <t xml:space="preserve">тоо ширхэг </t>
  </si>
  <si>
    <t xml:space="preserve">нийт үнэ </t>
  </si>
  <si>
    <t>Хүүхдийн тоглоом</t>
  </si>
  <si>
    <t>уух зүйлс</t>
  </si>
  <si>
    <t xml:space="preserve">Мөнгөн аяга </t>
  </si>
  <si>
    <t xml:space="preserve">Тэрэг </t>
  </si>
  <si>
    <t>Өргөмжлөл</t>
  </si>
  <si>
    <t>Жааз</t>
  </si>
  <si>
    <t xml:space="preserve">Тоглоомын Шагнал </t>
  </si>
  <si>
    <t xml:space="preserve">Айрагны хул </t>
  </si>
  <si>
    <t>Dj</t>
  </si>
  <si>
    <t>Бартендер</t>
  </si>
  <si>
    <t>Кофе</t>
  </si>
  <si>
    <t>Төмс</t>
  </si>
  <si>
    <t>Лууван</t>
  </si>
  <si>
    <t xml:space="preserve">Байцаа </t>
  </si>
  <si>
    <t xml:space="preserve">Гурил </t>
  </si>
  <si>
    <t>Сальют</t>
  </si>
  <si>
    <t xml:space="preserve">захиалга өгсөн </t>
  </si>
  <si>
    <t xml:space="preserve">Захиалга өгсөн </t>
  </si>
  <si>
    <t xml:space="preserve">Hiyun </t>
  </si>
  <si>
    <t>Ariuka</t>
  </si>
  <si>
    <t>Mzl</t>
  </si>
  <si>
    <t>Ganbayar</t>
  </si>
  <si>
    <t>Serko</t>
  </si>
  <si>
    <t xml:space="preserve">Puunaa </t>
  </si>
  <si>
    <t>mzl hiyun</t>
  </si>
  <si>
    <t>buguu</t>
  </si>
  <si>
    <t>mzl</t>
  </si>
  <si>
    <t xml:space="preserve">Танилцуулга видео </t>
  </si>
  <si>
    <t xml:space="preserve">12-н зураг хэвлэл </t>
  </si>
  <si>
    <t>Buguu</t>
  </si>
  <si>
    <t>Бусад</t>
  </si>
  <si>
    <t>Портер</t>
  </si>
  <si>
    <t>buguu Serko</t>
  </si>
  <si>
    <t>Гэр бүлийн нэр бичүүлэх /гэр гэрийн гадаа өлгөх/</t>
  </si>
  <si>
    <t>Явц</t>
  </si>
  <si>
    <t>Жавзандулам</t>
  </si>
  <si>
    <t>13-н айлн нэр хэвлүүлэх/ гэр гэрийн үүдэнд өлгөх/</t>
  </si>
  <si>
    <t>Шинэ-Үсэг</t>
  </si>
  <si>
    <t>Пүрэвжамц</t>
  </si>
  <si>
    <t>Дагдан</t>
  </si>
  <si>
    <t>Цэрэнхүү</t>
  </si>
  <si>
    <t>Ганбат</t>
  </si>
  <si>
    <t>Ариунжаргал</t>
  </si>
  <si>
    <t>Алтанзул</t>
  </si>
  <si>
    <t>Алтанхуяг</t>
  </si>
  <si>
    <t>Тэнгис</t>
  </si>
  <si>
    <t>Сувданчимэг</t>
  </si>
  <si>
    <t>Сүхбаатар</t>
  </si>
  <si>
    <t>Наранболор</t>
  </si>
  <si>
    <t>Түвшин</t>
  </si>
  <si>
    <t>Болормаа</t>
  </si>
  <si>
    <t>Тэнүүнжаргал</t>
  </si>
  <si>
    <t>Цэрэн-очир</t>
  </si>
  <si>
    <t>Сүхбат</t>
  </si>
  <si>
    <t>Ням-Анмид</t>
  </si>
  <si>
    <t>Цэрэнчунт</t>
  </si>
  <si>
    <t>Амин-Эрдэнэ</t>
  </si>
  <si>
    <t>Номин-эрдэнэ</t>
  </si>
  <si>
    <t>Нандин-эрдэнэ</t>
  </si>
  <si>
    <t>Байгалмаа</t>
  </si>
  <si>
    <t>Баяндалай</t>
  </si>
  <si>
    <t>Итгэлтөгс</t>
  </si>
  <si>
    <t>Эрдэмтөгс</t>
  </si>
  <si>
    <t>Ану</t>
  </si>
  <si>
    <t>Үжин</t>
  </si>
  <si>
    <t>Сандагсүрэн</t>
  </si>
  <si>
    <t>Чулуунцэцэг</t>
  </si>
  <si>
    <t>Чимэгмаа</t>
  </si>
  <si>
    <t>Брижер</t>
  </si>
  <si>
    <t>Бямба-очир</t>
  </si>
  <si>
    <t>Давааням</t>
  </si>
  <si>
    <t>Бат-эрдэнэ</t>
  </si>
  <si>
    <t>Энх-эрдэнэ</t>
  </si>
  <si>
    <t>Гаваасүрэн</t>
  </si>
  <si>
    <t>Нямсүрэн</t>
  </si>
  <si>
    <t>Оюунмарал</t>
  </si>
  <si>
    <t>Ирмүүн</t>
  </si>
  <si>
    <t>Сорхугтана</t>
  </si>
  <si>
    <t>Даш-Өлзий</t>
  </si>
  <si>
    <t>Пүрэвжаргал</t>
  </si>
  <si>
    <t>Хангай</t>
  </si>
  <si>
    <t>Алтантуяа</t>
  </si>
  <si>
    <t>Идэр</t>
  </si>
  <si>
    <t>Цэрэннадмид</t>
  </si>
  <si>
    <t>Чойжамц</t>
  </si>
  <si>
    <t>Гарьд</t>
  </si>
  <si>
    <t>Анужин</t>
  </si>
  <si>
    <t>Эмүүжин</t>
  </si>
  <si>
    <t xml:space="preserve">Тэмүүжин </t>
  </si>
  <si>
    <t>Эрдэнэ</t>
  </si>
  <si>
    <t>Азбаяр</t>
  </si>
  <si>
    <t>Намуунгоо</t>
  </si>
  <si>
    <t>Оюунгоо</t>
  </si>
  <si>
    <t>Номингоо</t>
  </si>
  <si>
    <t>Ууганчимэг</t>
  </si>
  <si>
    <t>Идэрбат</t>
  </si>
  <si>
    <t>Бямбасүрэн</t>
  </si>
  <si>
    <t>Оргил</t>
  </si>
  <si>
    <t>Дөлгөөн</t>
  </si>
  <si>
    <t>Базарсүрэн</t>
  </si>
  <si>
    <t>Индира</t>
  </si>
  <si>
    <t>Батцолмон</t>
  </si>
  <si>
    <t>Энх-үжин</t>
  </si>
  <si>
    <t>Энэрэл</t>
  </si>
  <si>
    <t>Намулун</t>
  </si>
  <si>
    <t>Зоригтбаатар</t>
  </si>
  <si>
    <t>Баярсайхан</t>
  </si>
  <si>
    <t>Баяржавхлан</t>
  </si>
  <si>
    <t>Занабазар</t>
  </si>
  <si>
    <t>Гарамбазар</t>
  </si>
  <si>
    <t>Гүрбазар</t>
  </si>
  <si>
    <t>Есүгэн</t>
  </si>
  <si>
    <t>Чэчэйхэн</t>
  </si>
  <si>
    <t>Эрдэнэчимэг</t>
  </si>
  <si>
    <t>Будсүрэн</t>
  </si>
  <si>
    <t>Ууган-эрдэнэ</t>
  </si>
  <si>
    <t>Азжаргал</t>
  </si>
  <si>
    <t>Ариунцэцэг</t>
  </si>
  <si>
    <t>Ханхүслэн</t>
  </si>
  <si>
    <t>Бат-Бямба</t>
  </si>
  <si>
    <t>Баянзул</t>
  </si>
  <si>
    <t>Чинзориг</t>
  </si>
  <si>
    <t>Энх-эхлэл</t>
  </si>
  <si>
    <t>Дуурсах</t>
  </si>
  <si>
    <t>Лхагвасүрэн</t>
  </si>
  <si>
    <t>Чимэдцэеэ</t>
  </si>
  <si>
    <t>Болор</t>
  </si>
  <si>
    <t>Содном</t>
  </si>
  <si>
    <t>Баттунгалаг</t>
  </si>
  <si>
    <t>Нандинтүшиг</t>
  </si>
  <si>
    <t>Балжинням</t>
  </si>
  <si>
    <t>Бөртэ-үжин</t>
  </si>
  <si>
    <t>Очир-эрдэнэ</t>
  </si>
  <si>
    <t>Цэрэн-лхам</t>
  </si>
  <si>
    <t>Отгонням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</si>
</sst>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NumberFormat="1" applyFont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64" fontId="4" fillId="0" borderId="1" xfId="1" applyNumberFormat="1" applyFont="1" applyBorder="1" applyAlignment="1">
      <alignment vertical="center" wrapText="1"/>
    </xf>
    <xf numFmtId="0" fontId="4" fillId="0" borderId="1" xfId="0" applyFont="1" applyBorder="1"/>
    <xf numFmtId="164" fontId="4" fillId="0" borderId="1" xfId="1" applyNumberFormat="1" applyFont="1" applyBorder="1"/>
    <xf numFmtId="0" fontId="4" fillId="0" borderId="0" xfId="0" applyFont="1"/>
    <xf numFmtId="164" fontId="4" fillId="0" borderId="0" xfId="1" applyNumberFormat="1" applyFont="1"/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4" fontId="4" fillId="2" borderId="0" xfId="1" applyNumberFormat="1" applyFont="1" applyFill="1"/>
    <xf numFmtId="164" fontId="4" fillId="3" borderId="0" xfId="1" applyNumberFormat="1" applyFont="1" applyFill="1"/>
    <xf numFmtId="164" fontId="4" fillId="3" borderId="1" xfId="1" applyNumberFormat="1" applyFont="1" applyFill="1" applyBorder="1"/>
    <xf numFmtId="164" fontId="4" fillId="0" borderId="3" xfId="1" applyNumberFormat="1" applyFont="1" applyBorder="1" applyAlignment="1">
      <alignment vertical="center" wrapText="1"/>
    </xf>
    <xf numFmtId="164" fontId="4" fillId="0" borderId="3" xfId="1" applyNumberFormat="1" applyFont="1" applyBorder="1"/>
    <xf numFmtId="164" fontId="4" fillId="0" borderId="1" xfId="1" applyNumberFormat="1" applyFont="1" applyBorder="1" applyAlignment="1">
      <alignment horizontal="left"/>
    </xf>
    <xf numFmtId="0" fontId="4" fillId="0" borderId="0" xfId="0" applyFont="1" applyBorder="1"/>
    <xf numFmtId="0" fontId="5" fillId="4" borderId="0" xfId="0" applyFont="1" applyFill="1"/>
    <xf numFmtId="164" fontId="5" fillId="4" borderId="0" xfId="1" applyNumberFormat="1" applyFont="1" applyFill="1"/>
    <xf numFmtId="164" fontId="4" fillId="2" borderId="1" xfId="1" applyNumberFormat="1" applyFont="1" applyFill="1" applyBorder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64" fontId="6" fillId="2" borderId="3" xfId="1" applyNumberFormat="1" applyFont="1" applyFill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3" borderId="3" xfId="1" applyNumberFormat="1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0" fontId="8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164" fontId="7" fillId="2" borderId="1" xfId="1" applyNumberFormat="1" applyFont="1" applyFill="1" applyBorder="1"/>
    <xf numFmtId="0" fontId="0" fillId="0" borderId="1" xfId="0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3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56"/>
  <sheetViews>
    <sheetView tabSelected="1" view="pageBreakPreview" zoomScale="115" zoomScaleNormal="85" zoomScaleSheetLayoutView="115" workbookViewId="0">
      <selection activeCell="Q26" sqref="Q26"/>
    </sheetView>
  </sheetViews>
  <sheetFormatPr defaultRowHeight="15" x14ac:dyDescent="0.25"/>
  <cols>
    <col min="1" max="1" width="3.28515625" style="1" bestFit="1" customWidth="1"/>
    <col min="2" max="3" width="12.28515625" style="1" bestFit="1" customWidth="1"/>
    <col min="4" max="4" width="12.85546875" style="1" bestFit="1" customWidth="1"/>
    <col min="5" max="5" width="13.5703125" style="1" customWidth="1"/>
    <col min="6" max="6" width="6.85546875" style="1" bestFit="1" customWidth="1"/>
    <col min="7" max="7" width="12.5703125" style="1" bestFit="1" customWidth="1"/>
    <col min="8" max="8" width="13" style="1" bestFit="1" customWidth="1"/>
    <col min="9" max="9" width="9.28515625" style="1" customWidth="1"/>
    <col min="10" max="10" width="12.7109375" style="1" bestFit="1" customWidth="1"/>
    <col min="11" max="12" width="12.5703125" style="1" bestFit="1" customWidth="1"/>
    <col min="13" max="13" width="14.42578125" style="1" bestFit="1" customWidth="1"/>
    <col min="14" max="14" width="12.7109375" style="1" bestFit="1" customWidth="1"/>
    <col min="15" max="15" width="10.42578125" style="1" bestFit="1" customWidth="1"/>
    <col min="16" max="16" width="12.28515625" style="1" bestFit="1" customWidth="1"/>
    <col min="17" max="17" width="10.85546875" style="1" bestFit="1" customWidth="1"/>
    <col min="18" max="18" width="9.140625" style="1"/>
    <col min="19" max="19" width="8.7109375" style="1" bestFit="1" customWidth="1"/>
    <col min="20" max="20" width="12.5703125" style="1" bestFit="1" customWidth="1"/>
    <col min="21" max="21" width="14.7109375" style="1" bestFit="1" customWidth="1"/>
    <col min="22" max="22" width="12.85546875" style="1" bestFit="1" customWidth="1"/>
    <col min="23" max="23" width="12" style="1" bestFit="1" customWidth="1"/>
    <col min="24" max="24" width="13.42578125" style="1" bestFit="1" customWidth="1"/>
    <col min="25" max="25" width="12.7109375" style="1" bestFit="1" customWidth="1"/>
    <col min="26" max="26" width="13.28515625" style="1" bestFit="1" customWidth="1"/>
    <col min="27" max="27" width="9.140625" style="1"/>
    <col min="28" max="28" width="11.7109375" style="1" bestFit="1" customWidth="1"/>
    <col min="29" max="30" width="9.140625" style="1"/>
    <col min="31" max="31" width="4.85546875" style="1" bestFit="1" customWidth="1"/>
    <col min="32" max="16384" width="9.140625" style="1"/>
  </cols>
  <sheetData>
    <row r="2" spans="1:26" x14ac:dyDescent="0.25">
      <c r="A2" s="70">
        <v>1</v>
      </c>
      <c r="B2" s="68" t="s">
        <v>206</v>
      </c>
      <c r="C2" s="72"/>
      <c r="F2" s="70">
        <v>2</v>
      </c>
      <c r="G2" s="2" t="s">
        <v>0</v>
      </c>
      <c r="J2" s="1">
        <v>54</v>
      </c>
      <c r="K2" s="70">
        <v>3</v>
      </c>
      <c r="L2" s="68" t="s">
        <v>11</v>
      </c>
      <c r="N2" s="1">
        <v>79</v>
      </c>
      <c r="O2" s="75">
        <v>4</v>
      </c>
      <c r="P2" s="2" t="s">
        <v>128</v>
      </c>
      <c r="R2" s="1">
        <v>94</v>
      </c>
      <c r="S2" s="69">
        <v>5</v>
      </c>
      <c r="T2" s="68" t="s">
        <v>22</v>
      </c>
      <c r="V2" s="1">
        <v>103</v>
      </c>
      <c r="W2" s="69">
        <v>6</v>
      </c>
      <c r="X2" s="2" t="s">
        <v>26</v>
      </c>
      <c r="Y2" s="1">
        <v>115</v>
      </c>
    </row>
    <row r="3" spans="1:26" x14ac:dyDescent="0.25">
      <c r="A3" s="70"/>
      <c r="B3" s="68" t="s">
        <v>203</v>
      </c>
      <c r="C3" s="72"/>
      <c r="F3" s="71"/>
      <c r="G3" s="2" t="s">
        <v>1</v>
      </c>
      <c r="K3" s="70"/>
      <c r="L3" s="68" t="s">
        <v>204</v>
      </c>
      <c r="N3" s="1">
        <v>80</v>
      </c>
      <c r="O3" s="75"/>
      <c r="P3" s="1" t="s">
        <v>205</v>
      </c>
      <c r="S3" s="69"/>
      <c r="T3" s="68" t="s">
        <v>57</v>
      </c>
      <c r="V3" s="1">
        <v>104</v>
      </c>
      <c r="W3" s="69"/>
      <c r="X3" s="2" t="s">
        <v>27</v>
      </c>
      <c r="Y3" s="1">
        <v>116</v>
      </c>
    </row>
    <row r="4" spans="1:26" x14ac:dyDescent="0.25">
      <c r="C4" s="74" t="s">
        <v>98</v>
      </c>
      <c r="F4" s="73"/>
      <c r="G4" s="1">
        <v>35</v>
      </c>
      <c r="H4" s="2" t="s">
        <v>105</v>
      </c>
      <c r="L4" s="1">
        <v>55</v>
      </c>
      <c r="M4" s="2" t="s">
        <v>12</v>
      </c>
      <c r="P4" s="1">
        <v>81</v>
      </c>
      <c r="Q4" s="2" t="s">
        <v>18</v>
      </c>
      <c r="T4" s="1">
        <v>95</v>
      </c>
      <c r="U4" s="2" t="s">
        <v>23</v>
      </c>
      <c r="X4" s="1">
        <v>105</v>
      </c>
      <c r="Y4" s="2" t="s">
        <v>28</v>
      </c>
    </row>
    <row r="5" spans="1:26" x14ac:dyDescent="0.25">
      <c r="C5" s="74"/>
      <c r="F5" s="73"/>
      <c r="G5" s="1">
        <v>36</v>
      </c>
      <c r="H5" s="2" t="s">
        <v>231</v>
      </c>
      <c r="L5" s="1">
        <v>56</v>
      </c>
      <c r="M5" s="2" t="s">
        <v>247</v>
      </c>
      <c r="P5" s="1">
        <v>82</v>
      </c>
      <c r="Q5" s="2" t="s">
        <v>264</v>
      </c>
      <c r="T5" s="1">
        <v>96</v>
      </c>
      <c r="U5" s="2" t="s">
        <v>267</v>
      </c>
      <c r="X5" s="1">
        <v>106</v>
      </c>
      <c r="Y5" s="2" t="s">
        <v>29</v>
      </c>
    </row>
    <row r="6" spans="1:26" x14ac:dyDescent="0.25">
      <c r="D6" s="2" t="s">
        <v>209</v>
      </c>
      <c r="H6" s="1">
        <v>37</v>
      </c>
      <c r="I6" s="2" t="s">
        <v>232</v>
      </c>
      <c r="J6" s="3"/>
      <c r="M6" s="1">
        <v>57</v>
      </c>
      <c r="N6" s="2" t="s">
        <v>248</v>
      </c>
      <c r="P6" s="1">
        <v>83</v>
      </c>
      <c r="R6" s="2" t="s">
        <v>2</v>
      </c>
      <c r="U6" s="1">
        <v>97</v>
      </c>
      <c r="V6" s="2" t="s">
        <v>277</v>
      </c>
      <c r="X6" s="1">
        <v>107</v>
      </c>
      <c r="Z6" s="1" t="s">
        <v>268</v>
      </c>
    </row>
    <row r="7" spans="1:26" x14ac:dyDescent="0.25">
      <c r="D7" s="2" t="s">
        <v>210</v>
      </c>
      <c r="H7" s="1">
        <v>38</v>
      </c>
      <c r="I7" s="2" t="s">
        <v>233</v>
      </c>
      <c r="J7" s="3"/>
      <c r="M7" s="1">
        <v>58</v>
      </c>
      <c r="N7" s="2" t="s">
        <v>249</v>
      </c>
      <c r="P7" s="1">
        <v>84</v>
      </c>
      <c r="Q7" s="2" t="s">
        <v>19</v>
      </c>
      <c r="U7" s="1">
        <v>98</v>
      </c>
      <c r="V7" s="2" t="s">
        <v>278</v>
      </c>
      <c r="X7" s="1">
        <v>108</v>
      </c>
      <c r="Z7" s="1" t="s">
        <v>269</v>
      </c>
    </row>
    <row r="8" spans="1:26" x14ac:dyDescent="0.25">
      <c r="E8" s="2" t="s">
        <v>211</v>
      </c>
      <c r="G8" s="1">
        <v>39</v>
      </c>
      <c r="H8" s="66" t="s">
        <v>3</v>
      </c>
      <c r="M8" s="1">
        <v>59</v>
      </c>
      <c r="N8" s="2" t="s">
        <v>250</v>
      </c>
      <c r="P8" s="1">
        <v>85</v>
      </c>
      <c r="Q8" s="2" t="s">
        <v>265</v>
      </c>
      <c r="T8" s="1">
        <v>99</v>
      </c>
      <c r="U8" s="2" t="s">
        <v>24</v>
      </c>
      <c r="X8" s="1">
        <v>109</v>
      </c>
      <c r="Y8" s="2" t="s">
        <v>30</v>
      </c>
    </row>
    <row r="9" spans="1:26" x14ac:dyDescent="0.25">
      <c r="D9" s="2" t="s">
        <v>212</v>
      </c>
      <c r="G9" s="1">
        <v>40</v>
      </c>
      <c r="H9" s="66" t="s">
        <v>234</v>
      </c>
      <c r="M9" s="1">
        <v>60</v>
      </c>
      <c r="N9" s="2" t="s">
        <v>251</v>
      </c>
      <c r="P9" s="1">
        <v>86</v>
      </c>
      <c r="R9" s="2" t="s">
        <v>266</v>
      </c>
      <c r="T9" s="1">
        <v>100</v>
      </c>
      <c r="U9" s="2" t="s">
        <v>279</v>
      </c>
      <c r="X9" s="1">
        <v>110</v>
      </c>
      <c r="Y9" s="2" t="s">
        <v>31</v>
      </c>
    </row>
    <row r="10" spans="1:26" x14ac:dyDescent="0.25">
      <c r="D10" s="2" t="s">
        <v>213</v>
      </c>
      <c r="G10" s="1">
        <v>41</v>
      </c>
      <c r="L10" s="1">
        <v>61</v>
      </c>
      <c r="M10" s="2" t="s">
        <v>13</v>
      </c>
      <c r="P10" s="1">
        <v>87</v>
      </c>
      <c r="R10" s="2" t="s">
        <v>2</v>
      </c>
      <c r="T10" s="1">
        <v>101</v>
      </c>
      <c r="V10" s="2" t="s">
        <v>280</v>
      </c>
      <c r="X10" s="1">
        <v>111</v>
      </c>
      <c r="Y10" s="2" t="s">
        <v>32</v>
      </c>
    </row>
    <row r="11" spans="1:26" x14ac:dyDescent="0.25">
      <c r="E11" s="2" t="s">
        <v>214</v>
      </c>
      <c r="H11" s="2" t="s">
        <v>236</v>
      </c>
      <c r="J11" s="3"/>
      <c r="L11" s="1">
        <v>62</v>
      </c>
      <c r="M11" s="2" t="s">
        <v>14</v>
      </c>
      <c r="P11" s="1">
        <v>88</v>
      </c>
      <c r="Q11" s="2" t="s">
        <v>20</v>
      </c>
      <c r="T11" s="1">
        <v>102</v>
      </c>
      <c r="U11" s="2" t="s">
        <v>25</v>
      </c>
      <c r="X11" s="1">
        <v>112</v>
      </c>
      <c r="Z11" s="1" t="s">
        <v>270</v>
      </c>
    </row>
    <row r="12" spans="1:26" x14ac:dyDescent="0.25">
      <c r="E12" s="2" t="s">
        <v>215</v>
      </c>
      <c r="H12" s="66" t="s">
        <v>235</v>
      </c>
      <c r="J12" s="3"/>
      <c r="L12" s="1">
        <v>63</v>
      </c>
      <c r="N12" s="2" t="s">
        <v>252</v>
      </c>
      <c r="P12" s="1">
        <v>89</v>
      </c>
      <c r="Q12" s="2" t="s">
        <v>285</v>
      </c>
      <c r="X12" s="1">
        <v>113</v>
      </c>
      <c r="Z12" s="1" t="s">
        <v>271</v>
      </c>
    </row>
    <row r="13" spans="1:26" x14ac:dyDescent="0.25">
      <c r="E13" s="2" t="s">
        <v>216</v>
      </c>
      <c r="G13" s="1">
        <v>44</v>
      </c>
      <c r="H13" s="1">
        <v>42</v>
      </c>
      <c r="I13" s="2" t="s">
        <v>237</v>
      </c>
      <c r="L13" s="1">
        <v>64</v>
      </c>
      <c r="N13" s="2" t="s">
        <v>253</v>
      </c>
      <c r="P13" s="1">
        <v>90</v>
      </c>
      <c r="Q13" s="2" t="s">
        <v>286</v>
      </c>
      <c r="X13" s="1">
        <v>114</v>
      </c>
      <c r="Y13" s="2" t="s">
        <v>33</v>
      </c>
    </row>
    <row r="14" spans="1:26" x14ac:dyDescent="0.25">
      <c r="E14" s="2" t="s">
        <v>217</v>
      </c>
      <c r="G14" s="1">
        <v>45</v>
      </c>
      <c r="H14" s="1">
        <v>43</v>
      </c>
      <c r="I14" s="2" t="s">
        <v>238</v>
      </c>
      <c r="L14" s="1">
        <v>65</v>
      </c>
      <c r="N14" s="2" t="s">
        <v>254</v>
      </c>
      <c r="P14" s="1">
        <v>91</v>
      </c>
      <c r="R14" s="2" t="s">
        <v>287</v>
      </c>
    </row>
    <row r="15" spans="1:26" x14ac:dyDescent="0.25">
      <c r="D15" s="2" t="s">
        <v>99</v>
      </c>
      <c r="G15" s="1">
        <v>46</v>
      </c>
      <c r="H15" s="2" t="s">
        <v>5</v>
      </c>
      <c r="L15" s="1">
        <v>66</v>
      </c>
      <c r="N15" s="2" t="s">
        <v>255</v>
      </c>
      <c r="P15" s="1">
        <v>92</v>
      </c>
      <c r="R15" s="2" t="s">
        <v>288</v>
      </c>
    </row>
    <row r="16" spans="1:26" x14ac:dyDescent="0.25">
      <c r="E16" s="2" t="s">
        <v>218</v>
      </c>
      <c r="G16" s="1">
        <v>47</v>
      </c>
      <c r="H16" s="2" t="s">
        <v>239</v>
      </c>
      <c r="L16" s="1">
        <v>67</v>
      </c>
      <c r="M16" s="2" t="s">
        <v>111</v>
      </c>
      <c r="P16" s="1">
        <v>93</v>
      </c>
      <c r="R16" s="2" t="s">
        <v>289</v>
      </c>
    </row>
    <row r="17" spans="3:14" x14ac:dyDescent="0.25">
      <c r="D17" s="2" t="s">
        <v>219</v>
      </c>
      <c r="H17" s="2" t="s">
        <v>240</v>
      </c>
      <c r="J17" s="3"/>
      <c r="L17" s="1">
        <v>68</v>
      </c>
      <c r="M17" s="2" t="s">
        <v>15</v>
      </c>
    </row>
    <row r="18" spans="3:14" x14ac:dyDescent="0.25">
      <c r="C18" s="2" t="s">
        <v>129</v>
      </c>
      <c r="H18" s="2" t="s">
        <v>6</v>
      </c>
      <c r="J18" s="3"/>
      <c r="L18" s="1">
        <v>69</v>
      </c>
      <c r="N18" s="2" t="s">
        <v>256</v>
      </c>
    </row>
    <row r="19" spans="3:14" x14ac:dyDescent="0.25">
      <c r="C19" s="2" t="s">
        <v>220</v>
      </c>
      <c r="H19" s="1">
        <v>48</v>
      </c>
      <c r="I19" s="2" t="s">
        <v>241</v>
      </c>
      <c r="J19" s="3"/>
      <c r="L19" s="1">
        <v>70</v>
      </c>
      <c r="N19" s="2" t="s">
        <v>257</v>
      </c>
    </row>
    <row r="20" spans="3:14" x14ac:dyDescent="0.25">
      <c r="D20" s="59" t="s">
        <v>9</v>
      </c>
      <c r="G20" s="1">
        <v>51</v>
      </c>
      <c r="H20" s="1">
        <v>49</v>
      </c>
      <c r="I20" s="2" t="s">
        <v>242</v>
      </c>
      <c r="L20" s="1">
        <v>71</v>
      </c>
      <c r="N20" s="2" t="s">
        <v>258</v>
      </c>
    </row>
    <row r="21" spans="3:14" x14ac:dyDescent="0.25">
      <c r="D21" s="59" t="s">
        <v>221</v>
      </c>
      <c r="G21" s="1">
        <v>52</v>
      </c>
      <c r="H21" s="1">
        <v>50</v>
      </c>
      <c r="I21" s="2" t="s">
        <v>243</v>
      </c>
      <c r="L21" s="1">
        <v>72</v>
      </c>
      <c r="N21" s="2" t="s">
        <v>259</v>
      </c>
    </row>
    <row r="22" spans="3:14" x14ac:dyDescent="0.25">
      <c r="E22" s="2" t="s">
        <v>29</v>
      </c>
      <c r="H22" s="2" t="s">
        <v>244</v>
      </c>
      <c r="J22" s="3"/>
      <c r="L22" s="1">
        <v>73</v>
      </c>
      <c r="M22" s="2" t="s">
        <v>16</v>
      </c>
    </row>
    <row r="23" spans="3:14" x14ac:dyDescent="0.25">
      <c r="E23" s="2" t="s">
        <v>222</v>
      </c>
      <c r="H23" s="2" t="s">
        <v>245</v>
      </c>
      <c r="L23" s="1">
        <v>74</v>
      </c>
      <c r="M23" s="2" t="s">
        <v>260</v>
      </c>
    </row>
    <row r="24" spans="3:14" x14ac:dyDescent="0.25">
      <c r="E24" s="2" t="s">
        <v>223</v>
      </c>
      <c r="H24" s="1">
        <v>53</v>
      </c>
      <c r="I24" s="2" t="s">
        <v>246</v>
      </c>
      <c r="L24" s="1">
        <v>75</v>
      </c>
      <c r="N24" s="2" t="s">
        <v>261</v>
      </c>
    </row>
    <row r="25" spans="3:14" x14ac:dyDescent="0.25">
      <c r="E25" s="67" t="s">
        <v>224</v>
      </c>
      <c r="L25" s="1">
        <v>76</v>
      </c>
      <c r="N25" s="66" t="s">
        <v>262</v>
      </c>
    </row>
    <row r="26" spans="3:14" x14ac:dyDescent="0.25">
      <c r="D26" s="59" t="s">
        <v>8</v>
      </c>
      <c r="G26" s="59"/>
      <c r="L26" s="1">
        <v>77</v>
      </c>
      <c r="N26" s="2" t="s">
        <v>215</v>
      </c>
    </row>
    <row r="27" spans="3:14" x14ac:dyDescent="0.25">
      <c r="D27" s="59" t="s">
        <v>225</v>
      </c>
      <c r="G27" s="59"/>
      <c r="L27" s="1">
        <v>78</v>
      </c>
      <c r="N27" s="2" t="s">
        <v>263</v>
      </c>
    </row>
    <row r="28" spans="3:14" x14ac:dyDescent="0.25">
      <c r="E28" s="2" t="s">
        <v>226</v>
      </c>
      <c r="N28" s="2"/>
    </row>
    <row r="29" spans="3:14" x14ac:dyDescent="0.25">
      <c r="E29" s="2" t="s">
        <v>227</v>
      </c>
    </row>
    <row r="30" spans="3:14" x14ac:dyDescent="0.25">
      <c r="E30" s="2" t="s">
        <v>228</v>
      </c>
    </row>
    <row r="31" spans="3:14" x14ac:dyDescent="0.25">
      <c r="D31" s="2" t="s">
        <v>101</v>
      </c>
    </row>
    <row r="32" spans="3:14" x14ac:dyDescent="0.25">
      <c r="D32" s="2" t="s">
        <v>21</v>
      </c>
    </row>
    <row r="33" spans="1:24" x14ac:dyDescent="0.25">
      <c r="E33" s="2" t="s">
        <v>229</v>
      </c>
    </row>
    <row r="34" spans="1:24" x14ac:dyDescent="0.25">
      <c r="E34" s="2" t="s">
        <v>230</v>
      </c>
    </row>
    <row r="35" spans="1:24" x14ac:dyDescent="0.25">
      <c r="D35" s="2" t="s">
        <v>10</v>
      </c>
    </row>
    <row r="36" spans="1:24" x14ac:dyDescent="0.25">
      <c r="D36" s="9"/>
    </row>
    <row r="39" spans="1:24" x14ac:dyDescent="0.25">
      <c r="A39" s="69">
        <v>7</v>
      </c>
      <c r="B39" s="2" t="s">
        <v>34</v>
      </c>
      <c r="D39" s="1">
        <v>124</v>
      </c>
      <c r="E39" s="75">
        <v>8</v>
      </c>
      <c r="F39" s="68" t="s">
        <v>207</v>
      </c>
      <c r="H39" s="1">
        <v>134</v>
      </c>
      <c r="I39" s="75">
        <v>9</v>
      </c>
      <c r="J39" s="2" t="s">
        <v>41</v>
      </c>
      <c r="L39" s="1">
        <v>148</v>
      </c>
      <c r="M39" s="75">
        <v>10</v>
      </c>
      <c r="N39" s="2" t="s">
        <v>55</v>
      </c>
      <c r="P39" s="1">
        <v>158</v>
      </c>
      <c r="Q39" s="75">
        <v>11</v>
      </c>
      <c r="R39" s="2" t="s">
        <v>126</v>
      </c>
      <c r="T39" s="1">
        <v>163</v>
      </c>
      <c r="U39" s="75">
        <v>12</v>
      </c>
      <c r="V39" s="2" t="s">
        <v>61</v>
      </c>
    </row>
    <row r="40" spans="1:24" x14ac:dyDescent="0.25">
      <c r="A40" s="69"/>
      <c r="B40" s="2" t="s">
        <v>35</v>
      </c>
      <c r="D40" s="1">
        <v>125</v>
      </c>
      <c r="E40" s="75"/>
      <c r="F40" s="68" t="s">
        <v>38</v>
      </c>
      <c r="G40" s="2" t="s">
        <v>121</v>
      </c>
      <c r="H40" s="1">
        <v>135</v>
      </c>
      <c r="I40" s="75"/>
      <c r="J40" s="2" t="s">
        <v>42</v>
      </c>
      <c r="L40" s="1">
        <v>149</v>
      </c>
      <c r="M40" s="75"/>
      <c r="N40" s="2" t="s">
        <v>56</v>
      </c>
      <c r="P40" s="1">
        <v>159</v>
      </c>
      <c r="Q40" s="75"/>
      <c r="R40" s="2" t="s">
        <v>58</v>
      </c>
      <c r="T40" s="1">
        <v>164</v>
      </c>
      <c r="U40" s="75"/>
      <c r="V40" s="2" t="s">
        <v>208</v>
      </c>
    </row>
    <row r="41" spans="1:24" x14ac:dyDescent="0.25">
      <c r="B41" s="1">
        <v>117</v>
      </c>
      <c r="C41" s="2" t="s">
        <v>118</v>
      </c>
      <c r="F41" s="1">
        <v>126</v>
      </c>
      <c r="G41" s="2" t="s">
        <v>40</v>
      </c>
      <c r="J41" s="1">
        <v>136</v>
      </c>
      <c r="K41" s="2" t="s">
        <v>43</v>
      </c>
      <c r="N41" s="1">
        <v>150</v>
      </c>
      <c r="O41" s="2" t="s">
        <v>290</v>
      </c>
      <c r="R41" s="1">
        <v>160</v>
      </c>
      <c r="S41" s="2" t="s">
        <v>59</v>
      </c>
      <c r="V41" s="1">
        <v>165</v>
      </c>
      <c r="W41" s="2" t="s">
        <v>125</v>
      </c>
    </row>
    <row r="42" spans="1:24" x14ac:dyDescent="0.25">
      <c r="B42" s="1">
        <v>118</v>
      </c>
      <c r="C42" s="2" t="s">
        <v>36</v>
      </c>
      <c r="F42" s="1">
        <v>127</v>
      </c>
      <c r="H42" s="2" t="s">
        <v>282</v>
      </c>
      <c r="J42" s="1">
        <v>137</v>
      </c>
      <c r="K42" s="2" t="s">
        <v>44</v>
      </c>
      <c r="N42" s="1">
        <v>151</v>
      </c>
      <c r="O42" s="2" t="s">
        <v>291</v>
      </c>
      <c r="R42" s="1">
        <v>161</v>
      </c>
      <c r="S42" s="2" t="s">
        <v>261</v>
      </c>
      <c r="V42" s="1">
        <v>166</v>
      </c>
      <c r="W42" s="2" t="s">
        <v>294</v>
      </c>
    </row>
    <row r="43" spans="1:24" x14ac:dyDescent="0.25">
      <c r="C43" s="1">
        <v>119</v>
      </c>
      <c r="D43" s="2" t="s">
        <v>143</v>
      </c>
      <c r="F43" s="1">
        <v>128</v>
      </c>
      <c r="G43" s="2" t="s">
        <v>274</v>
      </c>
      <c r="K43" s="1">
        <v>138</v>
      </c>
      <c r="L43" s="2" t="s">
        <v>45</v>
      </c>
      <c r="N43" s="1">
        <v>152</v>
      </c>
      <c r="P43" s="2" t="s">
        <v>297</v>
      </c>
      <c r="R43" s="1">
        <v>162</v>
      </c>
      <c r="S43" s="2" t="s">
        <v>60</v>
      </c>
      <c r="V43" s="1">
        <v>167</v>
      </c>
      <c r="X43" s="2" t="s">
        <v>295</v>
      </c>
    </row>
    <row r="44" spans="1:24" x14ac:dyDescent="0.25">
      <c r="F44" s="1">
        <v>129</v>
      </c>
      <c r="G44" s="2" t="s">
        <v>39</v>
      </c>
      <c r="K44" s="1">
        <v>139</v>
      </c>
      <c r="L44" s="2" t="s">
        <v>46</v>
      </c>
      <c r="N44" s="1">
        <v>153</v>
      </c>
      <c r="P44" s="2" t="s">
        <v>298</v>
      </c>
      <c r="V44" s="1">
        <v>168</v>
      </c>
      <c r="X44" s="2" t="s">
        <v>296</v>
      </c>
    </row>
    <row r="45" spans="1:24" x14ac:dyDescent="0.25">
      <c r="B45" s="1">
        <v>120</v>
      </c>
      <c r="C45" s="2" t="s">
        <v>272</v>
      </c>
      <c r="F45" s="1">
        <v>130</v>
      </c>
      <c r="G45" s="2" t="s">
        <v>275</v>
      </c>
      <c r="J45" s="1">
        <v>140</v>
      </c>
      <c r="K45" s="2" t="s">
        <v>47</v>
      </c>
      <c r="N45" s="1">
        <v>154</v>
      </c>
      <c r="P45" s="2" t="s">
        <v>299</v>
      </c>
      <c r="V45" s="1">
        <v>169</v>
      </c>
      <c r="W45" s="2" t="s">
        <v>293</v>
      </c>
    </row>
    <row r="46" spans="1:24" x14ac:dyDescent="0.25">
      <c r="B46" s="1">
        <v>121</v>
      </c>
      <c r="C46" s="2" t="s">
        <v>37</v>
      </c>
      <c r="F46" s="1">
        <v>131</v>
      </c>
      <c r="G46" s="2" t="s">
        <v>283</v>
      </c>
      <c r="J46" s="1">
        <v>141</v>
      </c>
      <c r="K46" s="2" t="s">
        <v>48</v>
      </c>
      <c r="N46" s="1">
        <v>155</v>
      </c>
      <c r="O46" s="2" t="s">
        <v>292</v>
      </c>
      <c r="V46" s="1">
        <v>170</v>
      </c>
      <c r="W46" s="2" t="s">
        <v>62</v>
      </c>
    </row>
    <row r="47" spans="1:24" x14ac:dyDescent="0.25">
      <c r="C47" s="1">
        <v>122</v>
      </c>
      <c r="D47" s="2" t="s">
        <v>281</v>
      </c>
      <c r="G47" s="1">
        <v>132</v>
      </c>
      <c r="H47" s="2" t="s">
        <v>284</v>
      </c>
      <c r="J47" s="1">
        <v>142</v>
      </c>
      <c r="L47" s="2" t="s">
        <v>49</v>
      </c>
      <c r="N47" s="1">
        <v>156</v>
      </c>
      <c r="O47" s="2" t="s">
        <v>300</v>
      </c>
      <c r="V47" s="1">
        <v>171</v>
      </c>
      <c r="W47" s="2" t="s">
        <v>63</v>
      </c>
    </row>
    <row r="48" spans="1:24" x14ac:dyDescent="0.25">
      <c r="F48" s="1">
        <v>133</v>
      </c>
      <c r="G48" s="2" t="s">
        <v>276</v>
      </c>
      <c r="J48" s="1">
        <v>143</v>
      </c>
      <c r="K48" s="2" t="s">
        <v>50</v>
      </c>
      <c r="N48" s="1">
        <v>157</v>
      </c>
      <c r="O48" s="2" t="s">
        <v>215</v>
      </c>
    </row>
    <row r="49" spans="2:12" x14ac:dyDescent="0.25">
      <c r="B49" s="1">
        <v>123</v>
      </c>
      <c r="C49" s="2" t="s">
        <v>273</v>
      </c>
      <c r="J49" s="1">
        <v>144</v>
      </c>
      <c r="L49" s="2" t="s">
        <v>51</v>
      </c>
    </row>
    <row r="50" spans="2:12" x14ac:dyDescent="0.25">
      <c r="J50" s="1">
        <v>145</v>
      </c>
      <c r="K50" s="2" t="s">
        <v>52</v>
      </c>
    </row>
    <row r="51" spans="2:12" x14ac:dyDescent="0.25">
      <c r="J51" s="1">
        <v>146</v>
      </c>
      <c r="K51" s="2" t="s">
        <v>53</v>
      </c>
    </row>
    <row r="52" spans="2:12" x14ac:dyDescent="0.25">
      <c r="J52" s="1">
        <v>147</v>
      </c>
      <c r="K52" s="8" t="s">
        <v>54</v>
      </c>
    </row>
    <row r="54" spans="2:12" ht="3.75" customHeight="1" x14ac:dyDescent="0.25"/>
    <row r="55" spans="2:12" hidden="1" x14ac:dyDescent="0.25"/>
    <row r="56" spans="2:12" hidden="1" x14ac:dyDescent="0.25"/>
  </sheetData>
  <mergeCells count="15">
    <mergeCell ref="A39:A40"/>
    <mergeCell ref="E39:E40"/>
    <mergeCell ref="I39:I40"/>
    <mergeCell ref="M39:M40"/>
    <mergeCell ref="Q39:Q40"/>
    <mergeCell ref="F4:F5"/>
    <mergeCell ref="C4:C5"/>
    <mergeCell ref="O2:O3"/>
    <mergeCell ref="S2:S3"/>
    <mergeCell ref="U39:U40"/>
    <mergeCell ref="W2:W3"/>
    <mergeCell ref="F2:F3"/>
    <mergeCell ref="A2:A3"/>
    <mergeCell ref="C2:C3"/>
    <mergeCell ref="K2:K3"/>
  </mergeCells>
  <pageMargins left="0.7" right="0.7" top="0.75" bottom="0.75" header="0.3" footer="0.3"/>
  <pageSetup scale="43" orientation="landscape" copies="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view="pageBreakPreview" topLeftCell="B12" zoomScale="130" zoomScaleNormal="145" zoomScaleSheetLayoutView="130" workbookViewId="0">
      <selection activeCell="F29" sqref="F29"/>
    </sheetView>
  </sheetViews>
  <sheetFormatPr defaultRowHeight="11.25" x14ac:dyDescent="0.2"/>
  <cols>
    <col min="1" max="1" width="2.85546875" style="16" customWidth="1"/>
    <col min="2" max="2" width="20.28515625" style="16" bestFit="1" customWidth="1"/>
    <col min="3" max="3" width="11" style="17" bestFit="1" customWidth="1"/>
    <col min="4" max="4" width="11.7109375" style="16" customWidth="1"/>
    <col min="5" max="5" width="11" style="17" bestFit="1" customWidth="1"/>
    <col min="6" max="6" width="9.140625" style="16"/>
    <col min="7" max="7" width="9.5703125" style="17" bestFit="1" customWidth="1"/>
    <col min="8" max="8" width="9.140625" style="16"/>
    <col min="9" max="9" width="9.140625" style="17"/>
    <col min="10" max="10" width="9.140625" style="16"/>
    <col min="11" max="11" width="9.140625" style="17"/>
    <col min="12" max="12" width="9.140625" style="16"/>
    <col min="13" max="13" width="9.140625" style="17"/>
    <col min="14" max="16384" width="9.140625" style="16"/>
  </cols>
  <sheetData>
    <row r="1" spans="1:13" x14ac:dyDescent="0.2">
      <c r="B1" s="18" t="s">
        <v>102</v>
      </c>
      <c r="C1" s="19" t="s">
        <v>103</v>
      </c>
      <c r="D1" s="18" t="s">
        <v>102</v>
      </c>
      <c r="E1" s="19" t="s">
        <v>103</v>
      </c>
      <c r="F1" s="18" t="s">
        <v>102</v>
      </c>
      <c r="G1" s="19" t="s">
        <v>103</v>
      </c>
      <c r="H1" s="18" t="s">
        <v>102</v>
      </c>
      <c r="I1" s="19" t="s">
        <v>103</v>
      </c>
      <c r="J1" s="18" t="s">
        <v>102</v>
      </c>
      <c r="K1" s="19" t="s">
        <v>103</v>
      </c>
      <c r="L1" s="18" t="s">
        <v>102</v>
      </c>
      <c r="M1" s="19" t="s">
        <v>103</v>
      </c>
    </row>
    <row r="2" spans="1:13" s="6" customFormat="1" x14ac:dyDescent="0.2">
      <c r="A2" s="20">
        <v>1</v>
      </c>
      <c r="B2" s="14" t="s">
        <v>7</v>
      </c>
      <c r="C2" s="13">
        <v>400000</v>
      </c>
      <c r="D2" s="14" t="s">
        <v>104</v>
      </c>
      <c r="E2" s="15">
        <v>400000</v>
      </c>
      <c r="F2" s="20" t="s">
        <v>110</v>
      </c>
      <c r="G2" s="13">
        <v>400000</v>
      </c>
      <c r="H2" s="20" t="s">
        <v>17</v>
      </c>
      <c r="I2" s="13">
        <v>400000</v>
      </c>
      <c r="J2" s="20" t="s">
        <v>22</v>
      </c>
      <c r="K2" s="24">
        <v>400000</v>
      </c>
      <c r="L2" s="20" t="s">
        <v>115</v>
      </c>
      <c r="M2" s="13">
        <v>400000</v>
      </c>
    </row>
    <row r="3" spans="1:13" x14ac:dyDescent="0.2">
      <c r="A3" s="14">
        <v>2</v>
      </c>
      <c r="B3" s="14" t="s">
        <v>98</v>
      </c>
      <c r="C3" s="15">
        <v>500000</v>
      </c>
      <c r="D3" s="20" t="s">
        <v>105</v>
      </c>
      <c r="E3" s="13">
        <v>500000</v>
      </c>
      <c r="F3" s="14" t="s">
        <v>12</v>
      </c>
      <c r="G3" s="15">
        <v>500000</v>
      </c>
      <c r="H3" s="14" t="s">
        <v>18</v>
      </c>
      <c r="I3" s="15">
        <v>500000</v>
      </c>
      <c r="J3" s="14" t="s">
        <v>113</v>
      </c>
      <c r="K3" s="25">
        <v>500000</v>
      </c>
      <c r="L3" s="14" t="s">
        <v>28</v>
      </c>
      <c r="M3" s="15">
        <v>500000</v>
      </c>
    </row>
    <row r="4" spans="1:13" x14ac:dyDescent="0.2">
      <c r="A4" s="14">
        <v>3</v>
      </c>
      <c r="B4" s="14" t="s">
        <v>100</v>
      </c>
      <c r="C4" s="15">
        <v>200000</v>
      </c>
      <c r="D4" s="14" t="s">
        <v>3</v>
      </c>
      <c r="E4" s="15">
        <v>500000</v>
      </c>
      <c r="F4" s="14" t="s">
        <v>13</v>
      </c>
      <c r="G4" s="15">
        <v>500000</v>
      </c>
      <c r="H4" s="14" t="s">
        <v>19</v>
      </c>
      <c r="I4" s="15">
        <v>500000</v>
      </c>
      <c r="J4" s="14" t="s">
        <v>24</v>
      </c>
      <c r="K4" s="25">
        <v>500000</v>
      </c>
      <c r="L4" s="14" t="s">
        <v>30</v>
      </c>
      <c r="M4" s="15">
        <v>500000</v>
      </c>
    </row>
    <row r="5" spans="1:13" x14ac:dyDescent="0.2">
      <c r="A5" s="14">
        <v>4</v>
      </c>
      <c r="B5" s="14" t="s">
        <v>108</v>
      </c>
      <c r="C5" s="15">
        <v>500000</v>
      </c>
      <c r="D5" s="14" t="s">
        <v>4</v>
      </c>
      <c r="E5" s="15">
        <v>500000</v>
      </c>
      <c r="F5" s="14" t="s">
        <v>111</v>
      </c>
      <c r="G5" s="15">
        <v>500000</v>
      </c>
      <c r="H5" s="14" t="s">
        <v>20</v>
      </c>
      <c r="I5" s="15">
        <v>500000</v>
      </c>
      <c r="J5" s="14" t="s">
        <v>114</v>
      </c>
      <c r="K5" s="25">
        <v>200000</v>
      </c>
      <c r="L5" s="14" t="s">
        <v>31</v>
      </c>
      <c r="M5" s="15">
        <v>500000</v>
      </c>
    </row>
    <row r="6" spans="1:13" x14ac:dyDescent="0.2">
      <c r="A6" s="14">
        <v>5</v>
      </c>
      <c r="B6" s="14" t="s">
        <v>109</v>
      </c>
      <c r="C6" s="15">
        <v>500000</v>
      </c>
      <c r="D6" s="14" t="s">
        <v>5</v>
      </c>
      <c r="E6" s="15">
        <v>500000</v>
      </c>
      <c r="F6" s="14" t="s">
        <v>112</v>
      </c>
      <c r="G6" s="15">
        <v>500000</v>
      </c>
      <c r="H6" s="14" t="s">
        <v>21</v>
      </c>
      <c r="I6" s="15">
        <v>500000</v>
      </c>
      <c r="K6" s="21">
        <f>SUM(K2:K5)</f>
        <v>1600000</v>
      </c>
      <c r="L6" s="14" t="s">
        <v>33</v>
      </c>
      <c r="M6" s="15">
        <v>200000</v>
      </c>
    </row>
    <row r="7" spans="1:13" x14ac:dyDescent="0.2">
      <c r="A7" s="14">
        <v>6</v>
      </c>
      <c r="B7" s="14" t="s">
        <v>99</v>
      </c>
      <c r="C7" s="15">
        <v>200000</v>
      </c>
      <c r="D7" s="14" t="s">
        <v>106</v>
      </c>
      <c r="E7" s="15">
        <v>500000</v>
      </c>
      <c r="F7" s="14" t="s">
        <v>116</v>
      </c>
      <c r="G7" s="23">
        <v>200000</v>
      </c>
      <c r="I7" s="21">
        <f>SUM(I2:I6)</f>
        <v>2400000</v>
      </c>
      <c r="M7" s="21">
        <f>SUM(M2:M6)</f>
        <v>2100000</v>
      </c>
    </row>
    <row r="8" spans="1:13" x14ac:dyDescent="0.2">
      <c r="A8" s="14"/>
      <c r="B8" s="14"/>
      <c r="C8" s="30">
        <f>SUM(C2:C7)</f>
        <v>2300000</v>
      </c>
      <c r="D8" s="14" t="s">
        <v>107</v>
      </c>
      <c r="E8" s="15">
        <v>500000</v>
      </c>
      <c r="G8" s="21">
        <f>SUM(G2:G7)</f>
        <v>2600000</v>
      </c>
      <c r="I8" s="22"/>
      <c r="M8" s="22"/>
    </row>
    <row r="9" spans="1:13" x14ac:dyDescent="0.2">
      <c r="A9" s="14">
        <v>7</v>
      </c>
      <c r="B9" s="14" t="s">
        <v>129</v>
      </c>
      <c r="C9" s="15">
        <v>500000</v>
      </c>
      <c r="E9" s="21">
        <f>SUM(E2:E8)</f>
        <v>3400000</v>
      </c>
    </row>
    <row r="10" spans="1:13" x14ac:dyDescent="0.2">
      <c r="A10" s="14">
        <v>8</v>
      </c>
      <c r="B10" s="14" t="s">
        <v>8</v>
      </c>
      <c r="C10" s="15">
        <v>500000</v>
      </c>
    </row>
    <row r="11" spans="1:13" x14ac:dyDescent="0.2">
      <c r="A11" s="14">
        <v>9</v>
      </c>
      <c r="B11" s="14" t="s">
        <v>9</v>
      </c>
      <c r="C11" s="15">
        <v>500000</v>
      </c>
    </row>
    <row r="12" spans="1:13" x14ac:dyDescent="0.2">
      <c r="A12" s="14">
        <v>10</v>
      </c>
      <c r="B12" s="14" t="s">
        <v>101</v>
      </c>
      <c r="C12" s="15">
        <v>500000</v>
      </c>
    </row>
    <row r="13" spans="1:13" x14ac:dyDescent="0.2">
      <c r="A13" s="14">
        <v>11</v>
      </c>
      <c r="B13" s="14" t="s">
        <v>10</v>
      </c>
      <c r="C13" s="15">
        <v>200000</v>
      </c>
    </row>
    <row r="14" spans="1:13" x14ac:dyDescent="0.2">
      <c r="C14" s="21">
        <f>SUM(C9:C13)</f>
        <v>2200000</v>
      </c>
    </row>
    <row r="15" spans="1:13" x14ac:dyDescent="0.2">
      <c r="C15" s="22"/>
      <c r="D15" s="18" t="s">
        <v>102</v>
      </c>
      <c r="E15" s="19" t="s">
        <v>103</v>
      </c>
      <c r="F15" s="18" t="s">
        <v>102</v>
      </c>
      <c r="G15" s="19" t="s">
        <v>103</v>
      </c>
    </row>
    <row r="16" spans="1:13" x14ac:dyDescent="0.2">
      <c r="B16" s="18" t="s">
        <v>102</v>
      </c>
      <c r="C16" s="19" t="s">
        <v>103</v>
      </c>
      <c r="D16" s="14" t="s">
        <v>38</v>
      </c>
      <c r="E16" s="15">
        <v>400000</v>
      </c>
      <c r="F16" s="14" t="s">
        <v>41</v>
      </c>
      <c r="G16" s="15">
        <v>400000</v>
      </c>
      <c r="H16" s="18" t="s">
        <v>102</v>
      </c>
      <c r="I16" s="19" t="s">
        <v>103</v>
      </c>
      <c r="J16" s="18" t="s">
        <v>102</v>
      </c>
      <c r="K16" s="19" t="s">
        <v>103</v>
      </c>
      <c r="L16" s="18" t="s">
        <v>102</v>
      </c>
      <c r="M16" s="19" t="s">
        <v>103</v>
      </c>
    </row>
    <row r="17" spans="1:13" x14ac:dyDescent="0.2">
      <c r="A17" s="20">
        <v>1</v>
      </c>
      <c r="B17" s="14" t="s">
        <v>117</v>
      </c>
      <c r="C17" s="24">
        <v>400000</v>
      </c>
      <c r="D17" s="26" t="s">
        <v>121</v>
      </c>
      <c r="E17" s="15">
        <v>500000</v>
      </c>
      <c r="F17" s="14" t="s">
        <v>43</v>
      </c>
      <c r="G17" s="15">
        <v>500000</v>
      </c>
      <c r="H17" s="14" t="s">
        <v>55</v>
      </c>
      <c r="I17" s="15">
        <v>400000</v>
      </c>
      <c r="J17" s="14" t="s">
        <v>61</v>
      </c>
      <c r="K17" s="15">
        <v>400000</v>
      </c>
      <c r="L17" s="14" t="s">
        <v>126</v>
      </c>
      <c r="M17" s="15">
        <v>400000</v>
      </c>
    </row>
    <row r="18" spans="1:13" x14ac:dyDescent="0.2">
      <c r="A18" s="14">
        <v>2</v>
      </c>
      <c r="B18" s="14" t="s">
        <v>118</v>
      </c>
      <c r="C18" s="25">
        <v>500000</v>
      </c>
      <c r="D18" s="14" t="s">
        <v>64</v>
      </c>
      <c r="E18" s="15">
        <v>500000</v>
      </c>
      <c r="F18" s="14" t="s">
        <v>47</v>
      </c>
      <c r="G18" s="15">
        <v>500000</v>
      </c>
      <c r="H18" s="14" t="s">
        <v>123</v>
      </c>
      <c r="I18" s="15">
        <v>500000</v>
      </c>
      <c r="J18" s="14" t="s">
        <v>125</v>
      </c>
      <c r="K18" s="15">
        <v>500000</v>
      </c>
      <c r="M18" s="21">
        <f>SUM(M17)</f>
        <v>400000</v>
      </c>
    </row>
    <row r="19" spans="1:13" x14ac:dyDescent="0.2">
      <c r="A19" s="14">
        <v>3</v>
      </c>
      <c r="B19" s="14" t="s">
        <v>119</v>
      </c>
      <c r="C19" s="25">
        <v>500000</v>
      </c>
      <c r="D19" s="14" t="s">
        <v>122</v>
      </c>
      <c r="E19" s="15">
        <v>500000</v>
      </c>
      <c r="F19" s="14" t="s">
        <v>50</v>
      </c>
      <c r="G19" s="15">
        <v>200000</v>
      </c>
      <c r="H19" s="14" t="s">
        <v>124</v>
      </c>
      <c r="I19" s="15">
        <v>200000</v>
      </c>
      <c r="K19" s="21">
        <f>SUM(K17:K18)</f>
        <v>900000</v>
      </c>
    </row>
    <row r="20" spans="1:13" x14ac:dyDescent="0.2">
      <c r="A20" s="14">
        <v>4</v>
      </c>
      <c r="B20" s="14" t="s">
        <v>120</v>
      </c>
      <c r="C20" s="25">
        <v>200000</v>
      </c>
      <c r="E20" s="21">
        <f>SUM(E16:E19)</f>
        <v>1900000</v>
      </c>
      <c r="G20" s="21">
        <f>SUM(G16:G19)</f>
        <v>1600000</v>
      </c>
      <c r="I20" s="21">
        <f>SUM(I17:I19)</f>
        <v>1100000</v>
      </c>
    </row>
    <row r="21" spans="1:13" x14ac:dyDescent="0.2">
      <c r="A21" s="27"/>
      <c r="C21" s="21">
        <f>SUM(C17:C20)</f>
        <v>1600000</v>
      </c>
    </row>
    <row r="22" spans="1:13" x14ac:dyDescent="0.2">
      <c r="A22" s="27"/>
    </row>
    <row r="23" spans="1:13" x14ac:dyDescent="0.2">
      <c r="A23" s="27"/>
    </row>
    <row r="24" spans="1:13" ht="12.75" x14ac:dyDescent="0.2">
      <c r="A24" s="27"/>
      <c r="B24" s="28" t="s">
        <v>65</v>
      </c>
      <c r="C24" s="29">
        <f>C8+C14+E9+G8+I7+K6+M7+C21+E20+G20+I20+K19+M18</f>
        <v>24100000</v>
      </c>
    </row>
    <row r="25" spans="1:13" x14ac:dyDescent="0.2">
      <c r="A25" s="27"/>
    </row>
    <row r="26" spans="1:13" x14ac:dyDescent="0.2">
      <c r="B26" s="16" t="s">
        <v>127</v>
      </c>
    </row>
    <row r="27" spans="1:13" x14ac:dyDescent="0.2">
      <c r="B27" s="14">
        <v>1</v>
      </c>
      <c r="C27" s="15" t="s">
        <v>110</v>
      </c>
      <c r="D27" s="15">
        <v>1000000</v>
      </c>
    </row>
    <row r="28" spans="1:13" x14ac:dyDescent="0.2">
      <c r="B28" s="14">
        <v>2</v>
      </c>
      <c r="C28" s="15" t="s">
        <v>128</v>
      </c>
      <c r="D28" s="15"/>
    </row>
    <row r="29" spans="1:13" x14ac:dyDescent="0.2">
      <c r="B29" s="14">
        <v>3</v>
      </c>
      <c r="C29" s="15" t="s">
        <v>22</v>
      </c>
      <c r="D29" s="15"/>
    </row>
    <row r="30" spans="1:13" x14ac:dyDescent="0.2">
      <c r="B30" s="14">
        <v>4</v>
      </c>
      <c r="C30" s="15" t="s">
        <v>26</v>
      </c>
      <c r="D30" s="15"/>
    </row>
    <row r="31" spans="1:13" x14ac:dyDescent="0.2">
      <c r="B31" s="14">
        <v>5</v>
      </c>
      <c r="C31" s="15" t="s">
        <v>117</v>
      </c>
      <c r="D31" s="15">
        <v>300000</v>
      </c>
    </row>
    <row r="32" spans="1:13" x14ac:dyDescent="0.2">
      <c r="B32" s="14">
        <v>6</v>
      </c>
      <c r="C32" s="15" t="s">
        <v>55</v>
      </c>
      <c r="D32" s="15"/>
    </row>
    <row r="33" spans="2:4" x14ac:dyDescent="0.2">
      <c r="B33" s="14">
        <v>7</v>
      </c>
      <c r="C33" s="15" t="s">
        <v>201</v>
      </c>
      <c r="D33" s="15">
        <v>500000</v>
      </c>
    </row>
  </sheetData>
  <pageMargins left="0.7" right="0.7" top="0.75" bottom="0.75" header="0.3" footer="0.3"/>
  <pageSetup scale="77" orientation="landscape" copies="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H18" sqref="H18"/>
    </sheetView>
  </sheetViews>
  <sheetFormatPr defaultRowHeight="15" x14ac:dyDescent="0.25"/>
  <cols>
    <col min="1" max="1" width="14.42578125" style="37" bestFit="1" customWidth="1"/>
    <col min="2" max="2" width="13.7109375" style="32" bestFit="1" customWidth="1"/>
    <col min="3" max="3" width="13.5703125" style="32" bestFit="1" customWidth="1"/>
    <col min="4" max="4" width="15" style="32" bestFit="1" customWidth="1"/>
    <col min="5" max="16384" width="9.140625" style="32"/>
  </cols>
  <sheetData>
    <row r="1" spans="1:4" ht="15.75" x14ac:dyDescent="0.25">
      <c r="A1" s="36"/>
      <c r="B1" s="35" t="s">
        <v>134</v>
      </c>
      <c r="C1" s="35" t="s">
        <v>135</v>
      </c>
      <c r="D1" s="35" t="s">
        <v>136</v>
      </c>
    </row>
    <row r="2" spans="1:4" ht="15.75" x14ac:dyDescent="0.25">
      <c r="A2" s="49" t="s">
        <v>133</v>
      </c>
      <c r="B2" s="34">
        <v>2200000</v>
      </c>
      <c r="C2" s="34">
        <v>2200000</v>
      </c>
      <c r="D2" s="34"/>
    </row>
    <row r="3" spans="1:4" ht="15.75" x14ac:dyDescent="0.25">
      <c r="A3" s="50" t="s">
        <v>7</v>
      </c>
      <c r="B3" s="42">
        <v>2300000</v>
      </c>
      <c r="C3" s="39">
        <v>1700000</v>
      </c>
      <c r="D3" s="34" t="s">
        <v>137</v>
      </c>
    </row>
    <row r="4" spans="1:4" ht="15.75" x14ac:dyDescent="0.25">
      <c r="A4" s="50" t="s">
        <v>104</v>
      </c>
      <c r="B4" s="42">
        <v>3400000</v>
      </c>
      <c r="C4" s="40">
        <v>2600000</v>
      </c>
      <c r="D4" s="42" t="s">
        <v>137</v>
      </c>
    </row>
    <row r="5" spans="1:4" ht="15.75" x14ac:dyDescent="0.25">
      <c r="A5" s="51" t="s">
        <v>110</v>
      </c>
      <c r="B5" s="44">
        <v>2600000</v>
      </c>
      <c r="C5" s="43">
        <v>2600000</v>
      </c>
      <c r="D5" s="42">
        <v>1500000</v>
      </c>
    </row>
    <row r="6" spans="1:4" ht="15.75" x14ac:dyDescent="0.25">
      <c r="A6" s="51" t="s">
        <v>17</v>
      </c>
      <c r="B6" s="44">
        <v>2400000</v>
      </c>
      <c r="C6" s="43">
        <v>500000</v>
      </c>
      <c r="D6" s="42" t="s">
        <v>167</v>
      </c>
    </row>
    <row r="7" spans="1:4" ht="15.75" x14ac:dyDescent="0.25">
      <c r="A7" s="51" t="s">
        <v>22</v>
      </c>
      <c r="B7" s="44">
        <v>1600000</v>
      </c>
      <c r="C7" s="43">
        <v>1600000</v>
      </c>
      <c r="D7" s="41"/>
    </row>
    <row r="8" spans="1:4" ht="15.75" x14ac:dyDescent="0.25">
      <c r="A8" s="51" t="s">
        <v>115</v>
      </c>
      <c r="B8" s="44">
        <v>2100000</v>
      </c>
      <c r="C8" s="40">
        <v>500000</v>
      </c>
      <c r="D8" s="41"/>
    </row>
    <row r="9" spans="1:4" ht="15.75" x14ac:dyDescent="0.25">
      <c r="A9" s="50" t="s">
        <v>117</v>
      </c>
      <c r="B9" s="42">
        <v>1600000</v>
      </c>
      <c r="C9" s="43">
        <v>1600000</v>
      </c>
      <c r="D9" s="42">
        <v>300000</v>
      </c>
    </row>
    <row r="10" spans="1:4" ht="15.75" x14ac:dyDescent="0.25">
      <c r="A10" s="50" t="s">
        <v>38</v>
      </c>
      <c r="B10" s="42">
        <v>1900000</v>
      </c>
      <c r="C10" s="43">
        <v>1500000</v>
      </c>
      <c r="D10" s="42" t="s">
        <v>137</v>
      </c>
    </row>
    <row r="11" spans="1:4" ht="15.75" x14ac:dyDescent="0.25">
      <c r="A11" s="50" t="s">
        <v>41</v>
      </c>
      <c r="B11" s="42">
        <v>1600000</v>
      </c>
      <c r="C11" s="40">
        <v>700000</v>
      </c>
      <c r="D11" s="42" t="s">
        <v>137</v>
      </c>
    </row>
    <row r="12" spans="1:4" ht="15.75" x14ac:dyDescent="0.25">
      <c r="A12" s="50" t="s">
        <v>55</v>
      </c>
      <c r="B12" s="42">
        <v>1100000</v>
      </c>
      <c r="C12" s="43">
        <v>1100000</v>
      </c>
      <c r="D12" s="41"/>
    </row>
    <row r="13" spans="1:4" ht="15.75" x14ac:dyDescent="0.25">
      <c r="A13" s="50" t="s">
        <v>61</v>
      </c>
      <c r="B13" s="42">
        <v>900000</v>
      </c>
      <c r="C13" s="43">
        <v>500000</v>
      </c>
      <c r="D13" s="42" t="s">
        <v>137</v>
      </c>
    </row>
    <row r="14" spans="1:4" ht="15.75" x14ac:dyDescent="0.25">
      <c r="A14" s="50" t="s">
        <v>126</v>
      </c>
      <c r="B14" s="42">
        <v>400000</v>
      </c>
      <c r="C14" s="43">
        <v>400000</v>
      </c>
      <c r="D14" s="42"/>
    </row>
    <row r="15" spans="1:4" ht="15.75" x14ac:dyDescent="0.25">
      <c r="A15" s="36"/>
      <c r="B15" s="33">
        <f>SUM(B2:B14)</f>
        <v>24100000</v>
      </c>
      <c r="C15" s="33">
        <f>SUM(C2:C14)</f>
        <v>17500000</v>
      </c>
      <c r="D15" s="38">
        <f>SUM(D2:D14)</f>
        <v>1800000</v>
      </c>
    </row>
    <row r="16" spans="1:4" ht="15.75" x14ac:dyDescent="0.25">
      <c r="A16" s="36"/>
      <c r="B16" s="31"/>
      <c r="C16" s="38">
        <f>C15+D15</f>
        <v>19300000</v>
      </c>
      <c r="D16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6"/>
  <sheetViews>
    <sheetView view="pageBreakPreview" topLeftCell="A31" zoomScale="96" zoomScaleNormal="100" zoomScaleSheetLayoutView="96" workbookViewId="0">
      <selection activeCell="E52" sqref="E52"/>
    </sheetView>
  </sheetViews>
  <sheetFormatPr defaultRowHeight="15" x14ac:dyDescent="0.25"/>
  <cols>
    <col min="1" max="1" width="14.5703125" bestFit="1" customWidth="1"/>
    <col min="2" max="2" width="23.42578125" customWidth="1"/>
    <col min="3" max="3" width="12" bestFit="1" customWidth="1"/>
    <col min="4" max="4" width="12.140625" style="45" customWidth="1"/>
    <col min="5" max="5" width="5.5703125" customWidth="1"/>
    <col min="6" max="6" width="13.28515625" style="45" bestFit="1" customWidth="1"/>
    <col min="7" max="7" width="10.7109375" style="45" bestFit="1" customWidth="1"/>
    <col min="8" max="8" width="11.7109375" bestFit="1" customWidth="1"/>
    <col min="9" max="9" width="14.85546875" bestFit="1" customWidth="1"/>
  </cols>
  <sheetData>
    <row r="1" spans="1:9" s="54" customFormat="1" ht="45" x14ac:dyDescent="0.25">
      <c r="A1" s="53"/>
      <c r="B1" s="55" t="s">
        <v>102</v>
      </c>
      <c r="C1" s="55"/>
      <c r="D1" s="56" t="s">
        <v>132</v>
      </c>
      <c r="E1" s="55" t="s">
        <v>164</v>
      </c>
      <c r="F1" s="56" t="s">
        <v>165</v>
      </c>
      <c r="G1" s="56" t="s">
        <v>163</v>
      </c>
      <c r="H1" s="55" t="s">
        <v>131</v>
      </c>
      <c r="I1" s="55" t="s">
        <v>200</v>
      </c>
    </row>
    <row r="2" spans="1:9" x14ac:dyDescent="0.25">
      <c r="A2" s="76" t="s">
        <v>145</v>
      </c>
      <c r="B2" s="46" t="s">
        <v>138</v>
      </c>
      <c r="C2" s="46" t="s">
        <v>184</v>
      </c>
      <c r="D2" s="47">
        <v>100000</v>
      </c>
      <c r="E2" s="46">
        <v>1</v>
      </c>
      <c r="F2" s="47">
        <f>D2*E2</f>
        <v>100000</v>
      </c>
      <c r="G2" s="47"/>
      <c r="H2" s="48">
        <f>F2-G2</f>
        <v>100000</v>
      </c>
      <c r="I2" s="64"/>
    </row>
    <row r="3" spans="1:9" x14ac:dyDescent="0.25">
      <c r="A3" s="77"/>
      <c r="B3" s="46" t="s">
        <v>139</v>
      </c>
      <c r="C3" s="46" t="s">
        <v>185</v>
      </c>
      <c r="D3" s="47">
        <v>300000</v>
      </c>
      <c r="E3" s="46">
        <v>1</v>
      </c>
      <c r="F3" s="47">
        <f t="shared" ref="F3:F32" si="0">D3*E3</f>
        <v>300000</v>
      </c>
      <c r="G3" s="47"/>
      <c r="H3" s="48">
        <f t="shared" ref="H3:H12" si="1">F3-G3</f>
        <v>300000</v>
      </c>
      <c r="I3" s="64" t="s">
        <v>183</v>
      </c>
    </row>
    <row r="4" spans="1:9" x14ac:dyDescent="0.25">
      <c r="A4" s="77"/>
      <c r="B4" s="46" t="s">
        <v>140</v>
      </c>
      <c r="C4" s="46" t="s">
        <v>186</v>
      </c>
      <c r="D4" s="47">
        <v>350000</v>
      </c>
      <c r="E4" s="46">
        <v>1</v>
      </c>
      <c r="F4" s="47">
        <f t="shared" si="0"/>
        <v>350000</v>
      </c>
      <c r="G4" s="47"/>
      <c r="H4" s="48">
        <f t="shared" si="1"/>
        <v>350000</v>
      </c>
      <c r="I4" s="64" t="s">
        <v>183</v>
      </c>
    </row>
    <row r="5" spans="1:9" x14ac:dyDescent="0.25">
      <c r="A5" s="77"/>
      <c r="B5" s="46" t="s">
        <v>141</v>
      </c>
      <c r="C5" s="46" t="s">
        <v>184</v>
      </c>
      <c r="D5" s="47">
        <v>100000</v>
      </c>
      <c r="E5" s="46">
        <v>1</v>
      </c>
      <c r="F5" s="47">
        <f t="shared" si="0"/>
        <v>100000</v>
      </c>
      <c r="G5" s="47"/>
      <c r="H5" s="48">
        <f t="shared" si="1"/>
        <v>100000</v>
      </c>
      <c r="I5" s="64"/>
    </row>
    <row r="6" spans="1:9" x14ac:dyDescent="0.25">
      <c r="A6" s="77"/>
      <c r="B6" s="46" t="s">
        <v>142</v>
      </c>
      <c r="C6" s="46" t="s">
        <v>184</v>
      </c>
      <c r="D6" s="47">
        <v>100000</v>
      </c>
      <c r="E6" s="46">
        <v>1</v>
      </c>
      <c r="F6" s="47">
        <f t="shared" si="0"/>
        <v>100000</v>
      </c>
      <c r="G6" s="47"/>
      <c r="H6" s="48">
        <f t="shared" si="1"/>
        <v>100000</v>
      </c>
      <c r="I6" s="64"/>
    </row>
    <row r="7" spans="1:9" x14ac:dyDescent="0.25">
      <c r="A7" s="77"/>
      <c r="B7" s="46" t="s">
        <v>143</v>
      </c>
      <c r="C7" s="46" t="s">
        <v>186</v>
      </c>
      <c r="D7" s="47">
        <v>300000</v>
      </c>
      <c r="E7" s="46">
        <v>1</v>
      </c>
      <c r="F7" s="47">
        <f t="shared" si="0"/>
        <v>300000</v>
      </c>
      <c r="G7" s="47"/>
      <c r="H7" s="48">
        <f t="shared" si="1"/>
        <v>300000</v>
      </c>
      <c r="I7" s="64" t="s">
        <v>183</v>
      </c>
    </row>
    <row r="8" spans="1:9" x14ac:dyDescent="0.25">
      <c r="A8" s="77"/>
      <c r="B8" s="46" t="s">
        <v>144</v>
      </c>
      <c r="C8" s="46" t="s">
        <v>184</v>
      </c>
      <c r="D8" s="47">
        <v>1300000</v>
      </c>
      <c r="E8" s="46">
        <v>1</v>
      </c>
      <c r="F8" s="47">
        <f t="shared" si="0"/>
        <v>1300000</v>
      </c>
      <c r="G8" s="47"/>
      <c r="H8" s="48">
        <f t="shared" si="1"/>
        <v>1300000</v>
      </c>
      <c r="I8" s="64" t="s">
        <v>183</v>
      </c>
    </row>
    <row r="9" spans="1:9" x14ac:dyDescent="0.25">
      <c r="A9" s="77"/>
      <c r="B9" s="46" t="s">
        <v>166</v>
      </c>
      <c r="C9" s="46" t="s">
        <v>186</v>
      </c>
      <c r="D9" s="47">
        <v>100000</v>
      </c>
      <c r="E9" s="46">
        <v>1</v>
      </c>
      <c r="F9" s="47">
        <f t="shared" si="0"/>
        <v>100000</v>
      </c>
      <c r="G9" s="47"/>
      <c r="H9" s="48">
        <f t="shared" si="1"/>
        <v>100000</v>
      </c>
      <c r="I9" s="64" t="s">
        <v>183</v>
      </c>
    </row>
    <row r="10" spans="1:9" x14ac:dyDescent="0.25">
      <c r="A10" s="77"/>
      <c r="B10" s="46" t="s">
        <v>181</v>
      </c>
      <c r="C10" s="46" t="s">
        <v>186</v>
      </c>
      <c r="D10" s="47">
        <v>280000</v>
      </c>
      <c r="E10" s="46">
        <v>1</v>
      </c>
      <c r="F10" s="47">
        <f t="shared" si="0"/>
        <v>280000</v>
      </c>
      <c r="G10" s="47"/>
      <c r="H10" s="48">
        <f t="shared" si="1"/>
        <v>280000</v>
      </c>
      <c r="I10" s="64" t="s">
        <v>183</v>
      </c>
    </row>
    <row r="11" spans="1:9" x14ac:dyDescent="0.25">
      <c r="A11" s="77"/>
      <c r="B11" s="46" t="s">
        <v>193</v>
      </c>
      <c r="C11" s="46" t="s">
        <v>191</v>
      </c>
      <c r="D11" s="47">
        <v>0</v>
      </c>
      <c r="E11" s="46">
        <v>1</v>
      </c>
      <c r="F11" s="47">
        <f>D11*E11</f>
        <v>0</v>
      </c>
      <c r="G11" s="47"/>
      <c r="H11" s="48">
        <f t="shared" si="1"/>
        <v>0</v>
      </c>
      <c r="I11" s="64"/>
    </row>
    <row r="12" spans="1:9" ht="45" x14ac:dyDescent="0.25">
      <c r="A12" s="77"/>
      <c r="B12" s="52" t="s">
        <v>199</v>
      </c>
      <c r="C12" s="58" t="s">
        <v>191</v>
      </c>
      <c r="D12" s="47">
        <v>0</v>
      </c>
      <c r="E12" s="46">
        <v>13</v>
      </c>
      <c r="F12" s="47">
        <v>0</v>
      </c>
      <c r="G12" s="47"/>
      <c r="H12" s="48">
        <f t="shared" si="1"/>
        <v>0</v>
      </c>
      <c r="I12" s="64"/>
    </row>
    <row r="13" spans="1:9" x14ac:dyDescent="0.25">
      <c r="A13" s="78"/>
      <c r="B13" s="46" t="s">
        <v>175</v>
      </c>
      <c r="C13" s="46" t="s">
        <v>184</v>
      </c>
      <c r="D13" s="47">
        <v>0</v>
      </c>
      <c r="E13" s="46">
        <v>1</v>
      </c>
      <c r="F13" s="47">
        <f t="shared" si="0"/>
        <v>0</v>
      </c>
      <c r="G13" s="47"/>
      <c r="H13" s="48">
        <f>F13-G13</f>
        <v>0</v>
      </c>
      <c r="I13" s="64"/>
    </row>
    <row r="14" spans="1:9" x14ac:dyDescent="0.25">
      <c r="A14" s="76" t="s">
        <v>146</v>
      </c>
      <c r="B14" s="46" t="s">
        <v>147</v>
      </c>
      <c r="C14" s="46" t="s">
        <v>184</v>
      </c>
      <c r="D14" s="47">
        <v>0</v>
      </c>
      <c r="E14" s="46">
        <v>1</v>
      </c>
      <c r="F14" s="47">
        <f t="shared" si="0"/>
        <v>0</v>
      </c>
      <c r="G14" s="47"/>
      <c r="H14" s="48">
        <f t="shared" ref="H14:H20" si="2">F14-G14</f>
        <v>0</v>
      </c>
      <c r="I14" s="64"/>
    </row>
    <row r="15" spans="1:9" x14ac:dyDescent="0.25">
      <c r="A15" s="77"/>
      <c r="B15" s="46" t="s">
        <v>148</v>
      </c>
      <c r="C15" s="46" t="s">
        <v>184</v>
      </c>
      <c r="D15" s="47">
        <v>1000000</v>
      </c>
      <c r="E15" s="46">
        <v>1</v>
      </c>
      <c r="F15" s="47">
        <f t="shared" si="0"/>
        <v>1000000</v>
      </c>
      <c r="G15" s="47"/>
      <c r="H15" s="48">
        <f t="shared" si="2"/>
        <v>1000000</v>
      </c>
      <c r="I15" s="64"/>
    </row>
    <row r="16" spans="1:9" x14ac:dyDescent="0.25">
      <c r="A16" s="77"/>
      <c r="B16" s="46" t="s">
        <v>149</v>
      </c>
      <c r="C16" s="46" t="s">
        <v>184</v>
      </c>
      <c r="D16" s="47">
        <v>0</v>
      </c>
      <c r="E16" s="46">
        <v>2</v>
      </c>
      <c r="F16" s="47">
        <f t="shared" si="0"/>
        <v>0</v>
      </c>
      <c r="G16" s="47"/>
      <c r="H16" s="48">
        <f t="shared" si="2"/>
        <v>0</v>
      </c>
      <c r="I16" s="64"/>
    </row>
    <row r="17" spans="1:9" x14ac:dyDescent="0.25">
      <c r="A17" s="77"/>
      <c r="B17" s="46" t="s">
        <v>150</v>
      </c>
      <c r="C17" s="46" t="s">
        <v>184</v>
      </c>
      <c r="D17" s="47">
        <v>1500000</v>
      </c>
      <c r="E17" s="46">
        <v>1</v>
      </c>
      <c r="F17" s="47">
        <f t="shared" si="0"/>
        <v>1500000</v>
      </c>
      <c r="G17" s="47"/>
      <c r="H17" s="48">
        <f t="shared" si="2"/>
        <v>1500000</v>
      </c>
      <c r="I17" s="64"/>
    </row>
    <row r="18" spans="1:9" x14ac:dyDescent="0.25">
      <c r="A18" s="77"/>
      <c r="B18" s="46" t="s">
        <v>151</v>
      </c>
      <c r="C18" s="46" t="s">
        <v>184</v>
      </c>
      <c r="D18" s="47">
        <v>1500000</v>
      </c>
      <c r="E18" s="46">
        <v>1</v>
      </c>
      <c r="F18" s="47">
        <f t="shared" si="0"/>
        <v>1500000</v>
      </c>
      <c r="G18" s="47"/>
      <c r="H18" s="48">
        <f t="shared" si="2"/>
        <v>1500000</v>
      </c>
      <c r="I18" s="64"/>
    </row>
    <row r="19" spans="1:9" x14ac:dyDescent="0.25">
      <c r="A19" s="77"/>
      <c r="B19" s="46" t="s">
        <v>174</v>
      </c>
      <c r="C19" s="46" t="s">
        <v>184</v>
      </c>
      <c r="D19" s="47">
        <v>1000000</v>
      </c>
      <c r="E19" s="46">
        <v>1</v>
      </c>
      <c r="F19" s="47">
        <f t="shared" si="0"/>
        <v>1000000</v>
      </c>
      <c r="G19" s="47"/>
      <c r="H19" s="48">
        <f t="shared" si="2"/>
        <v>1000000</v>
      </c>
      <c r="I19" s="64"/>
    </row>
    <row r="20" spans="1:9" x14ac:dyDescent="0.25">
      <c r="A20" s="77"/>
      <c r="B20" s="46" t="s">
        <v>152</v>
      </c>
      <c r="C20" s="46" t="s">
        <v>187</v>
      </c>
      <c r="D20" s="47">
        <v>1500000</v>
      </c>
      <c r="E20" s="46">
        <v>1</v>
      </c>
      <c r="F20" s="47">
        <f t="shared" si="0"/>
        <v>1500000</v>
      </c>
      <c r="G20" s="47"/>
      <c r="H20" s="48">
        <f t="shared" si="2"/>
        <v>1500000</v>
      </c>
      <c r="I20" s="64"/>
    </row>
    <row r="21" spans="1:9" x14ac:dyDescent="0.25">
      <c r="A21" s="77"/>
      <c r="B21" s="46" t="s">
        <v>194</v>
      </c>
      <c r="C21" s="46" t="s">
        <v>195</v>
      </c>
      <c r="D21" s="47"/>
      <c r="E21" s="46"/>
      <c r="F21" s="47"/>
      <c r="G21" s="47"/>
      <c r="H21" s="48">
        <f>F21-G21</f>
        <v>0</v>
      </c>
      <c r="I21" s="64"/>
    </row>
    <row r="22" spans="1:9" ht="45" x14ac:dyDescent="0.25">
      <c r="A22" s="77"/>
      <c r="B22" s="61" t="s">
        <v>202</v>
      </c>
      <c r="C22" s="60" t="s">
        <v>195</v>
      </c>
      <c r="D22" s="62"/>
      <c r="E22" s="58"/>
      <c r="F22" s="62"/>
      <c r="G22" s="62"/>
      <c r="H22" s="63"/>
      <c r="I22" s="65"/>
    </row>
    <row r="23" spans="1:9" x14ac:dyDescent="0.25">
      <c r="A23" s="78"/>
      <c r="B23" s="46" t="s">
        <v>153</v>
      </c>
      <c r="C23" s="46" t="s">
        <v>187</v>
      </c>
      <c r="D23" s="47">
        <v>1000000</v>
      </c>
      <c r="E23" s="46">
        <v>1</v>
      </c>
      <c r="F23" s="47">
        <f t="shared" si="0"/>
        <v>1000000</v>
      </c>
      <c r="G23" s="47"/>
      <c r="H23" s="48">
        <f>F23-G23</f>
        <v>1000000</v>
      </c>
      <c r="I23" s="64"/>
    </row>
    <row r="24" spans="1:9" x14ac:dyDescent="0.25">
      <c r="A24" s="76" t="s">
        <v>154</v>
      </c>
      <c r="B24" s="46" t="s">
        <v>130</v>
      </c>
      <c r="C24" s="46" t="s">
        <v>188</v>
      </c>
      <c r="D24" s="47">
        <v>150000</v>
      </c>
      <c r="E24" s="46">
        <v>30</v>
      </c>
      <c r="F24" s="47">
        <f t="shared" si="0"/>
        <v>4500000</v>
      </c>
      <c r="G24" s="47">
        <v>3600000</v>
      </c>
      <c r="H24" s="48">
        <f t="shared" ref="H24:H31" si="3">F24-G24</f>
        <v>900000</v>
      </c>
      <c r="I24" s="64" t="s">
        <v>183</v>
      </c>
    </row>
    <row r="25" spans="1:9" x14ac:dyDescent="0.25">
      <c r="A25" s="77"/>
      <c r="B25" s="46" t="s">
        <v>79</v>
      </c>
      <c r="C25" s="46" t="s">
        <v>189</v>
      </c>
      <c r="D25" s="47">
        <v>80000</v>
      </c>
      <c r="E25" s="46">
        <v>4</v>
      </c>
      <c r="F25" s="47">
        <f t="shared" si="0"/>
        <v>320000</v>
      </c>
      <c r="G25" s="47"/>
      <c r="H25" s="48">
        <f t="shared" si="3"/>
        <v>320000</v>
      </c>
      <c r="I25" s="64" t="s">
        <v>183</v>
      </c>
    </row>
    <row r="26" spans="1:9" x14ac:dyDescent="0.25">
      <c r="A26" s="77"/>
      <c r="B26" s="46" t="s">
        <v>155</v>
      </c>
      <c r="C26" s="46" t="s">
        <v>188</v>
      </c>
      <c r="D26" s="47">
        <v>150000</v>
      </c>
      <c r="E26" s="46">
        <v>13</v>
      </c>
      <c r="F26" s="47">
        <f t="shared" si="0"/>
        <v>1950000</v>
      </c>
      <c r="G26" s="47">
        <v>200000</v>
      </c>
      <c r="H26" s="48">
        <f t="shared" si="3"/>
        <v>1750000</v>
      </c>
      <c r="I26" s="64" t="s">
        <v>183</v>
      </c>
    </row>
    <row r="27" spans="1:9" x14ac:dyDescent="0.25">
      <c r="A27" s="77"/>
      <c r="B27" s="46" t="s">
        <v>156</v>
      </c>
      <c r="C27" s="46" t="s">
        <v>186</v>
      </c>
      <c r="D27" s="47">
        <v>500000</v>
      </c>
      <c r="E27" s="46">
        <v>1</v>
      </c>
      <c r="F27" s="47">
        <f t="shared" si="0"/>
        <v>500000</v>
      </c>
      <c r="G27" s="47"/>
      <c r="H27" s="48">
        <f t="shared" si="3"/>
        <v>500000</v>
      </c>
      <c r="I27" s="64"/>
    </row>
    <row r="28" spans="1:9" x14ac:dyDescent="0.25">
      <c r="A28" s="77"/>
      <c r="B28" s="46" t="s">
        <v>157</v>
      </c>
      <c r="C28" s="46" t="s">
        <v>186</v>
      </c>
      <c r="D28" s="47">
        <v>600000</v>
      </c>
      <c r="E28" s="46">
        <v>1</v>
      </c>
      <c r="F28" s="47">
        <f t="shared" si="0"/>
        <v>600000</v>
      </c>
      <c r="G28" s="47"/>
      <c r="H28" s="48">
        <f t="shared" si="3"/>
        <v>600000</v>
      </c>
      <c r="I28" s="64"/>
    </row>
    <row r="29" spans="1:9" x14ac:dyDescent="0.25">
      <c r="A29" s="77"/>
      <c r="B29" s="46" t="s">
        <v>158</v>
      </c>
      <c r="C29" s="46" t="s">
        <v>186</v>
      </c>
      <c r="D29" s="47">
        <v>200000</v>
      </c>
      <c r="E29" s="46">
        <v>1</v>
      </c>
      <c r="F29" s="47">
        <f t="shared" si="0"/>
        <v>200000</v>
      </c>
      <c r="G29" s="47"/>
      <c r="H29" s="48">
        <f t="shared" si="3"/>
        <v>200000</v>
      </c>
      <c r="I29" s="64"/>
    </row>
    <row r="30" spans="1:9" x14ac:dyDescent="0.25">
      <c r="A30" s="77"/>
      <c r="B30" s="46" t="s">
        <v>159</v>
      </c>
      <c r="C30" s="46" t="s">
        <v>186</v>
      </c>
      <c r="D30" s="47">
        <v>0</v>
      </c>
      <c r="E30" s="46">
        <v>1</v>
      </c>
      <c r="F30" s="47">
        <f t="shared" si="0"/>
        <v>0</v>
      </c>
      <c r="G30" s="47"/>
      <c r="H30" s="48">
        <f t="shared" si="3"/>
        <v>0</v>
      </c>
      <c r="I30" s="64"/>
    </row>
    <row r="31" spans="1:9" x14ac:dyDescent="0.25">
      <c r="A31" s="77"/>
      <c r="B31" s="46" t="s">
        <v>160</v>
      </c>
      <c r="C31" s="46"/>
      <c r="D31" s="47">
        <v>7000</v>
      </c>
      <c r="E31" s="46">
        <v>60</v>
      </c>
      <c r="F31" s="47">
        <f t="shared" si="0"/>
        <v>420000</v>
      </c>
      <c r="G31" s="47"/>
      <c r="H31" s="48">
        <f t="shared" si="3"/>
        <v>420000</v>
      </c>
      <c r="I31" s="64"/>
    </row>
    <row r="32" spans="1:9" x14ac:dyDescent="0.25">
      <c r="A32" s="77"/>
      <c r="B32" s="46" t="s">
        <v>173</v>
      </c>
      <c r="C32" s="46" t="s">
        <v>186</v>
      </c>
      <c r="D32" s="47">
        <v>0</v>
      </c>
      <c r="E32" s="46">
        <v>1</v>
      </c>
      <c r="F32" s="47">
        <f t="shared" si="0"/>
        <v>0</v>
      </c>
      <c r="G32" s="47"/>
      <c r="H32" s="48">
        <f>F32-G32</f>
        <v>0</v>
      </c>
      <c r="I32" s="64"/>
    </row>
    <row r="33" spans="1:9" x14ac:dyDescent="0.25">
      <c r="A33" s="77"/>
      <c r="B33" s="46" t="s">
        <v>161</v>
      </c>
      <c r="C33" s="46" t="s">
        <v>184</v>
      </c>
      <c r="D33" s="47">
        <v>2400000</v>
      </c>
      <c r="E33" s="46">
        <v>1</v>
      </c>
      <c r="F33" s="47">
        <v>2400000</v>
      </c>
      <c r="G33" s="47">
        <v>2400000</v>
      </c>
      <c r="H33" s="48">
        <f>F33-G33</f>
        <v>0</v>
      </c>
      <c r="I33" s="64"/>
    </row>
    <row r="34" spans="1:9" x14ac:dyDescent="0.25">
      <c r="A34" s="77"/>
      <c r="B34" s="46" t="s">
        <v>176</v>
      </c>
      <c r="C34" s="46" t="s">
        <v>186</v>
      </c>
      <c r="D34" s="47">
        <v>30000</v>
      </c>
      <c r="E34" s="46">
        <v>10</v>
      </c>
      <c r="F34" s="47">
        <f t="shared" ref="F34:F40" si="4">D34*E34</f>
        <v>300000</v>
      </c>
      <c r="G34" s="47"/>
      <c r="H34" s="48">
        <f>F34-G34</f>
        <v>300000</v>
      </c>
      <c r="I34" s="64"/>
    </row>
    <row r="35" spans="1:9" x14ac:dyDescent="0.25">
      <c r="A35" s="77"/>
      <c r="B35" s="46" t="s">
        <v>177</v>
      </c>
      <c r="C35" s="46" t="s">
        <v>186</v>
      </c>
      <c r="D35" s="47">
        <v>2500</v>
      </c>
      <c r="E35" s="46">
        <v>20</v>
      </c>
      <c r="F35" s="47">
        <f t="shared" si="4"/>
        <v>50000</v>
      </c>
      <c r="G35" s="47"/>
      <c r="H35" s="48">
        <f t="shared" ref="H35:H38" si="5">F35-G35</f>
        <v>50000</v>
      </c>
      <c r="I35" s="64"/>
    </row>
    <row r="36" spans="1:9" x14ac:dyDescent="0.25">
      <c r="A36" s="77"/>
      <c r="B36" s="46" t="s">
        <v>178</v>
      </c>
      <c r="C36" s="46" t="s">
        <v>186</v>
      </c>
      <c r="D36" s="47">
        <v>2500</v>
      </c>
      <c r="E36" s="46">
        <v>8</v>
      </c>
      <c r="F36" s="47">
        <f t="shared" si="4"/>
        <v>20000</v>
      </c>
      <c r="G36" s="47"/>
      <c r="H36" s="48">
        <f t="shared" si="5"/>
        <v>20000</v>
      </c>
      <c r="I36" s="64"/>
    </row>
    <row r="37" spans="1:9" x14ac:dyDescent="0.25">
      <c r="A37" s="77"/>
      <c r="B37" s="46" t="s">
        <v>179</v>
      </c>
      <c r="C37" s="46" t="s">
        <v>186</v>
      </c>
      <c r="D37" s="47">
        <v>3000</v>
      </c>
      <c r="E37" s="46">
        <v>4</v>
      </c>
      <c r="F37" s="47">
        <f t="shared" si="4"/>
        <v>12000</v>
      </c>
      <c r="G37" s="47"/>
      <c r="H37" s="48">
        <f t="shared" si="5"/>
        <v>12000</v>
      </c>
      <c r="I37" s="64"/>
    </row>
    <row r="38" spans="1:9" x14ac:dyDescent="0.25">
      <c r="A38" s="78"/>
      <c r="B38" s="46" t="s">
        <v>180</v>
      </c>
      <c r="C38" s="46" t="s">
        <v>186</v>
      </c>
      <c r="D38" s="47">
        <v>3000</v>
      </c>
      <c r="E38" s="46">
        <v>10</v>
      </c>
      <c r="F38" s="47">
        <f t="shared" si="4"/>
        <v>30000</v>
      </c>
      <c r="G38" s="47"/>
      <c r="H38" s="48">
        <f t="shared" si="5"/>
        <v>30000</v>
      </c>
      <c r="I38" s="64"/>
    </row>
    <row r="39" spans="1:9" x14ac:dyDescent="0.25">
      <c r="A39" s="79" t="s">
        <v>196</v>
      </c>
      <c r="B39" s="46" t="s">
        <v>162</v>
      </c>
      <c r="C39" s="46" t="s">
        <v>186</v>
      </c>
      <c r="D39" s="47">
        <v>55000</v>
      </c>
      <c r="E39" s="46">
        <v>13</v>
      </c>
      <c r="F39" s="47">
        <f t="shared" si="4"/>
        <v>715000</v>
      </c>
      <c r="G39" s="47"/>
      <c r="H39" s="48">
        <f>F39-G39</f>
        <v>715000</v>
      </c>
      <c r="I39" s="64" t="s">
        <v>182</v>
      </c>
    </row>
    <row r="40" spans="1:9" x14ac:dyDescent="0.25">
      <c r="A40" s="79"/>
      <c r="B40" s="46" t="s">
        <v>168</v>
      </c>
      <c r="C40" s="46" t="s">
        <v>186</v>
      </c>
      <c r="D40" s="47">
        <v>600000</v>
      </c>
      <c r="E40" s="46">
        <v>1</v>
      </c>
      <c r="F40" s="47">
        <f t="shared" si="4"/>
        <v>600000</v>
      </c>
      <c r="G40" s="47"/>
      <c r="H40" s="48">
        <f t="shared" ref="H40:H45" si="6">F40-G40</f>
        <v>600000</v>
      </c>
      <c r="I40" s="64"/>
    </row>
    <row r="41" spans="1:9" x14ac:dyDescent="0.25">
      <c r="A41" s="79"/>
      <c r="B41" s="46" t="s">
        <v>169</v>
      </c>
      <c r="C41" s="46" t="s">
        <v>186</v>
      </c>
      <c r="D41" s="47">
        <v>500000</v>
      </c>
      <c r="E41" s="46">
        <v>1</v>
      </c>
      <c r="F41" s="47">
        <v>500000</v>
      </c>
      <c r="G41" s="47"/>
      <c r="H41" s="48">
        <f t="shared" si="6"/>
        <v>500000</v>
      </c>
      <c r="I41" s="64"/>
    </row>
    <row r="42" spans="1:9" x14ac:dyDescent="0.25">
      <c r="A42" s="79"/>
      <c r="B42" s="46" t="s">
        <v>172</v>
      </c>
      <c r="C42" s="46" t="s">
        <v>190</v>
      </c>
      <c r="D42" s="47">
        <v>50000</v>
      </c>
      <c r="E42" s="46">
        <v>6</v>
      </c>
      <c r="F42" s="47">
        <v>500000</v>
      </c>
      <c r="G42" s="47"/>
      <c r="H42" s="48">
        <f t="shared" si="6"/>
        <v>500000</v>
      </c>
      <c r="I42" s="64"/>
    </row>
    <row r="43" spans="1:9" x14ac:dyDescent="0.25">
      <c r="A43" s="79"/>
      <c r="B43" s="46" t="s">
        <v>170</v>
      </c>
      <c r="C43" s="46" t="s">
        <v>191</v>
      </c>
      <c r="D43" s="47"/>
      <c r="E43" s="46">
        <v>6</v>
      </c>
      <c r="F43" s="47"/>
      <c r="G43" s="47"/>
      <c r="H43" s="48">
        <f t="shared" si="6"/>
        <v>0</v>
      </c>
      <c r="I43" s="64"/>
    </row>
    <row r="44" spans="1:9" x14ac:dyDescent="0.25">
      <c r="A44" s="79"/>
      <c r="B44" s="46" t="s">
        <v>171</v>
      </c>
      <c r="C44" s="46" t="s">
        <v>192</v>
      </c>
      <c r="D44" s="47">
        <v>10000</v>
      </c>
      <c r="E44" s="46">
        <v>6</v>
      </c>
      <c r="F44" s="47">
        <f>D44*E44</f>
        <v>60000</v>
      </c>
      <c r="G44" s="47"/>
      <c r="H44" s="48">
        <f t="shared" si="6"/>
        <v>60000</v>
      </c>
      <c r="I44" s="64"/>
    </row>
    <row r="45" spans="1:9" x14ac:dyDescent="0.25">
      <c r="A45" s="79"/>
      <c r="B45" s="46" t="s">
        <v>197</v>
      </c>
      <c r="C45" s="46" t="s">
        <v>198</v>
      </c>
      <c r="D45" s="47"/>
      <c r="E45" s="46">
        <v>1</v>
      </c>
      <c r="F45" s="47">
        <v>0</v>
      </c>
      <c r="G45" s="47"/>
      <c r="H45" s="48">
        <f t="shared" si="6"/>
        <v>0</v>
      </c>
      <c r="I45" s="64"/>
    </row>
    <row r="46" spans="1:9" x14ac:dyDescent="0.25">
      <c r="A46" s="80"/>
      <c r="B46" s="81"/>
      <c r="C46" s="81"/>
      <c r="D46" s="81"/>
      <c r="E46" s="82"/>
      <c r="F46" s="57">
        <f>SUM(F2:F45)</f>
        <v>24107000</v>
      </c>
      <c r="G46" s="57">
        <f>SUM(G2:G40)</f>
        <v>6200000</v>
      </c>
      <c r="H46" s="57">
        <f>SUM(H2:H45)</f>
        <v>17907000</v>
      </c>
      <c r="I46" s="64"/>
    </row>
  </sheetData>
  <mergeCells count="5">
    <mergeCell ref="A14:A23"/>
    <mergeCell ref="A24:A38"/>
    <mergeCell ref="A2:A13"/>
    <mergeCell ref="A39:A45"/>
    <mergeCell ref="A46:E46"/>
  </mergeCells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30"/>
  <sheetViews>
    <sheetView view="pageBreakPreview" zoomScale="115" zoomScaleNormal="100" zoomScaleSheetLayoutView="115" workbookViewId="0">
      <selection activeCell="E4" sqref="E4"/>
    </sheetView>
  </sheetViews>
  <sheetFormatPr defaultRowHeight="15" x14ac:dyDescent="0.25"/>
  <cols>
    <col min="1" max="1" width="9.140625" style="4"/>
    <col min="2" max="2" width="2" style="11" bestFit="1" customWidth="1"/>
    <col min="3" max="3" width="23.7109375" style="4" bestFit="1" customWidth="1"/>
    <col min="4" max="4" width="10.85546875" style="11" bestFit="1" customWidth="1"/>
    <col min="5" max="5" width="49" style="4" customWidth="1"/>
    <col min="6" max="6" width="34.140625" style="4" bestFit="1" customWidth="1"/>
    <col min="7" max="16384" width="9.140625" style="4"/>
  </cols>
  <sheetData>
    <row r="2" spans="2:6" x14ac:dyDescent="0.25">
      <c r="B2" s="84">
        <v>1</v>
      </c>
      <c r="C2" s="5" t="s">
        <v>66</v>
      </c>
      <c r="D2" s="83" t="s">
        <v>67</v>
      </c>
      <c r="E2" s="5" t="s">
        <v>68</v>
      </c>
      <c r="F2" s="5" t="s">
        <v>69</v>
      </c>
    </row>
    <row r="3" spans="2:6" x14ac:dyDescent="0.25">
      <c r="B3" s="84"/>
      <c r="C3" s="5" t="s">
        <v>70</v>
      </c>
      <c r="D3" s="83"/>
      <c r="E3" s="5"/>
      <c r="F3" s="5"/>
    </row>
    <row r="4" spans="2:6" x14ac:dyDescent="0.25">
      <c r="B4" s="84"/>
      <c r="C4" s="5" t="s">
        <v>71</v>
      </c>
      <c r="D4" s="83"/>
      <c r="E4" s="5"/>
      <c r="F4" s="5" t="s">
        <v>73</v>
      </c>
    </row>
    <row r="5" spans="2:6" x14ac:dyDescent="0.25">
      <c r="B5" s="84"/>
      <c r="C5" s="5" t="s">
        <v>72</v>
      </c>
      <c r="D5" s="83"/>
      <c r="E5" s="5"/>
      <c r="F5" s="5"/>
    </row>
    <row r="6" spans="2:6" x14ac:dyDescent="0.25">
      <c r="B6" s="84"/>
      <c r="C6" s="5" t="s">
        <v>74</v>
      </c>
      <c r="D6" s="83"/>
      <c r="E6" s="5" t="s">
        <v>75</v>
      </c>
      <c r="F6" s="5" t="s">
        <v>76</v>
      </c>
    </row>
    <row r="7" spans="2:6" x14ac:dyDescent="0.25">
      <c r="B7" s="84"/>
      <c r="C7" s="5" t="s">
        <v>77</v>
      </c>
      <c r="D7" s="83"/>
      <c r="E7" s="5"/>
      <c r="F7" s="5" t="s">
        <v>78</v>
      </c>
    </row>
    <row r="8" spans="2:6" x14ac:dyDescent="0.25">
      <c r="B8" s="7">
        <v>2</v>
      </c>
      <c r="C8" s="5" t="s">
        <v>79</v>
      </c>
      <c r="D8" s="10" t="s">
        <v>81</v>
      </c>
      <c r="E8" s="5"/>
      <c r="F8" s="5"/>
    </row>
    <row r="9" spans="2:6" x14ac:dyDescent="0.25">
      <c r="B9" s="7">
        <v>3</v>
      </c>
      <c r="C9" s="5" t="s">
        <v>80</v>
      </c>
      <c r="D9" s="7" t="s">
        <v>82</v>
      </c>
      <c r="E9" s="5"/>
      <c r="F9" s="5"/>
    </row>
    <row r="10" spans="2:6" x14ac:dyDescent="0.25">
      <c r="B10" s="7">
        <v>4</v>
      </c>
      <c r="C10" s="5" t="s">
        <v>83</v>
      </c>
      <c r="D10" s="7" t="s">
        <v>85</v>
      </c>
      <c r="E10" s="5" t="s">
        <v>86</v>
      </c>
      <c r="F10" s="5" t="s">
        <v>84</v>
      </c>
    </row>
    <row r="11" spans="2:6" x14ac:dyDescent="0.25">
      <c r="B11" s="7">
        <v>5</v>
      </c>
      <c r="C11" s="5" t="s">
        <v>87</v>
      </c>
      <c r="D11" s="10" t="s">
        <v>89</v>
      </c>
      <c r="E11" s="5" t="s">
        <v>88</v>
      </c>
      <c r="F11" s="5"/>
    </row>
    <row r="12" spans="2:6" x14ac:dyDescent="0.25">
      <c r="B12" s="7">
        <v>6</v>
      </c>
      <c r="C12" s="5" t="s">
        <v>90</v>
      </c>
      <c r="D12" s="7" t="s">
        <v>91</v>
      </c>
      <c r="E12" s="5" t="s">
        <v>92</v>
      </c>
      <c r="F12" s="7" t="s">
        <v>93</v>
      </c>
    </row>
    <row r="13" spans="2:6" x14ac:dyDescent="0.25">
      <c r="B13" s="7">
        <v>7</v>
      </c>
      <c r="C13" s="5" t="s">
        <v>94</v>
      </c>
      <c r="D13" s="10">
        <v>0.91666666666666663</v>
      </c>
      <c r="E13" s="5"/>
      <c r="F13" s="5"/>
    </row>
    <row r="14" spans="2:6" x14ac:dyDescent="0.25">
      <c r="B14" s="7">
        <v>8</v>
      </c>
      <c r="C14" s="5" t="s">
        <v>95</v>
      </c>
      <c r="D14" s="10">
        <v>0.9375</v>
      </c>
      <c r="E14" s="5" t="s">
        <v>96</v>
      </c>
      <c r="F14" s="5" t="s">
        <v>97</v>
      </c>
    </row>
    <row r="30" spans="5:5" x14ac:dyDescent="0.25">
      <c r="E30" s="12"/>
    </row>
  </sheetData>
  <mergeCells count="2">
    <mergeCell ref="D2:D7"/>
    <mergeCell ref="B2:B7"/>
  </mergeCells>
  <pageMargins left="0.7" right="0.7" top="0.75" bottom="0.75" header="0.3" footer="0.3"/>
  <pageSetup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Бүртгэл </vt:lpstr>
      <vt:lpstr>Санхүү</vt:lpstr>
      <vt:lpstr>sanhuu</vt:lpstr>
      <vt:lpstr>авах зүйлс</vt:lpstr>
      <vt:lpstr>Хөтөлбөр </vt:lpstr>
      <vt:lpstr>'авах зүйлс'!Print_Area</vt:lpstr>
      <vt:lpstr>'Бүртгэл '!Print_Area</vt:lpstr>
      <vt:lpstr>Санхүү!Print_Area</vt:lpstr>
    </vt:vector>
  </TitlesOfParts>
  <Company>KHANBANK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Mungunzul.Alt (Мөнгөнзул.А)</dc:creator>
  <cp:lastModifiedBy>Byambaa</cp:lastModifiedBy>
  <cp:lastPrinted>2026-06-16T06:27:07Z</cp:lastPrinted>
  <dcterms:created xsi:type="dcterms:W3CDTF">2026-04-13T03:26:07Z</dcterms:created>
  <dcterms:modified xsi:type="dcterms:W3CDTF">2026-06-18T09:35:13Z</dcterms:modified>
</cp:coreProperties>
</file>